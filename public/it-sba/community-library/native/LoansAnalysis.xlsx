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49ff3d641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ns" sheetId="1" r:id="R0316cdeccb734f11"/>
    <x:sheet xmlns:r="http://schemas.openxmlformats.org/officeDocument/2006/relationships" name="Dashboard" sheetId="2" r:id="Rf4cf784b7e6a48c2"/>
    <x:sheet xmlns:r="http://schemas.openxmlformats.org/officeDocument/2006/relationships" name="Rates" sheetId="3" r:id="R25fafe014667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.00"/>
    <x:numFmt numFmtId="202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75E"/>
      <x:name val="Carlito"/>
    </x:font>
    <x:font>
      <x:i/>
      <x:sz val="11"/>
      <x:color rgb="FF64748B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75E"/>
      </x:patternFill>
    </x:fill>
    <x:fill>
      <x:patternFill patternType="solid">
        <x:fgColor rgb="FF0D8069"/>
      </x:patternFill>
    </x:fill>
    <x:fill>
      <x:patternFill patternType="solid">
        <x:fgColor rgb="FFEEF3F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7508fe29324d8d" /><Relationship Type="http://schemas.openxmlformats.org/officeDocument/2006/relationships/theme" Target="/xl/theme/theme1.xml" Id="R7b04911a20a44d44" /><Relationship Type="http://schemas.openxmlformats.org/officeDocument/2006/relationships/sharedStrings" Target="/xl/sharedStrings.xml" Id="Red8c6a5f92a940f7" /><Relationship Type="http://schemas.openxmlformats.org/officeDocument/2006/relationships/worksheet" Target="/xl/worksheets/sheet1.xml" Id="R0316cdeccb734f11" /><Relationship Type="http://schemas.openxmlformats.org/officeDocument/2006/relationships/worksheet" Target="/xl/worksheets/sheet2.xml" Id="Rf4cf784b7e6a48c2" /><Relationship Type="http://schemas.openxmlformats.org/officeDocument/2006/relationships/worksheet" Target="/xl/worksheets/sheet3.xml" Id="R25fafe01466744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b1397efbf34b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Outstanding Fines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'Dashboard'!$B$11:$B$18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b1397efbf34b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27e0e007c91431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8" customHeight="1">
      <x:c r="A1" s="5" t="str">
        <x:v>SPARK REFERENCE - DO NOT SUBMIT | HarbourView Community Library</x:v>
      </x:c>
      <x:c r="B1" s="5"/>
      <x:c r="C1" s="5"/>
      <x:c r="D1" s="5"/>
      <x:c r="E1" s="5"/>
      <x:c r="F1" s="5"/>
      <x:c r="G1" s="5"/>
      <x:c r="H1" s="5"/>
      <x:c r="I1" s="5"/>
      <x:c r="J1" s="5"/>
      <x:c r="L1" s="21" t="str">
        <x:v>Reference rate</x:v>
      </x:c>
    </x:row>
    <x:row r="2" ht="26.399999618530273" hidden="0" customHeight="1">
      <x:c r="A2" s="14" t="str">
        <x:v>LoanID</x:v>
      </x:c>
      <x:c r="B2" s="14" t="str">
        <x:v>MemberName</x:v>
      </x:c>
      <x:c r="C2" s="14" t="str">
        <x:v>MemberType</x:v>
      </x:c>
      <x:c r="D2" s="14" t="str">
        <x:v>BookTitle</x:v>
      </x:c>
      <x:c r="E2" s="14" t="str">
        <x:v>Category</x:v>
      </x:c>
      <x:c r="F2" s="14" t="str">
        <x:v>DaysLate</x:v>
      </x:c>
      <x:c r="G2" s="14" t="str">
        <x:v>DailyFine</x:v>
      </x:c>
      <x:c r="H2" s="14" t="str">
        <x:v>BaseFine</x:v>
      </x:c>
      <x:c r="I2" s="14" t="str">
        <x:v>Concession</x:v>
      </x:c>
      <x:c r="J2" s="14" t="str">
        <x:v>FineDue</x:v>
      </x:c>
      <x:c r="L2" s="24" t="n">
        <x:v>0.25</x:v>
      </x:c>
    </x:row>
    <x:row r="3" ht="26.399999618530273" hidden="0" customHeight="1">
      <x:c r="A3" s="28" t="str">
        <x:v>L001</x:v>
      </x:c>
      <x:c r="B3" s="28" t="str">
        <x:v>Janelle Rose</x:v>
      </x:c>
      <x:c r="C3" s="28" t="str">
        <x:v>STUDENT</x:v>
      </x:c>
      <x:c r="D3" s="28" t="str">
        <x:v>Caribbean Voices</x:v>
      </x:c>
      <x:c r="E3" s="28" t="str">
        <x:v>Literature</x:v>
      </x:c>
      <x:c r="F3" s="28" t="n">
        <x:v>3</x:v>
      </x:c>
      <x:c r="G3" s="30" t="n">
        <x:v>100</x:v>
      </x:c>
      <x:c r="H3" s="30" t="n">
        <x:f>F3*G3</x:f>
        <x:v>300</x:v>
      </x:c>
      <x:c r="I3" s="28" t="n">
        <x:f>IF(C3="STUDENT",H3*$L$2,0)</x:f>
        <x:v>75</x:v>
      </x:c>
      <x:c r="J3" s="30" t="n">
        <x:f>H3-I3</x:f>
        <x:v>225</x:v>
      </x:c>
      <x:c r="L3" s="26" t="str">
        <x:v>Student concession</x:v>
      </x:c>
    </x:row>
    <x:row r="4" ht="26.399999618530273" hidden="0" customHeight="1">
      <x:c r="A4" s="28" t="str">
        <x:v>L002</x:v>
      </x:c>
      <x:c r="B4" s="28" t="str">
        <x:v>Paul Green</x:v>
      </x:c>
      <x:c r="C4" s="28" t="str">
        <x:v>ADULT</x:v>
      </x:c>
      <x:c r="D4" s="28" t="str">
        <x:v>Excel Basics</x:v>
      </x:c>
      <x:c r="E4" s="28" t="str">
        <x:v>Technology</x:v>
      </x:c>
      <x:c r="F4" s="28" t="n">
        <x:v>5</x:v>
      </x:c>
      <x:c r="G4" s="30" t="n">
        <x:v>100</x:v>
      </x:c>
      <x:c r="H4" s="30" t="n">
        <x:f>F4*G4</x:f>
        <x:v>500</x:v>
      </x:c>
      <x:c r="I4" s="28" t="n">
        <x:f>IF(C4="STUDENT",H4*$L$2,0)</x:f>
        <x:v>0</x:v>
      </x:c>
      <x:c r="J4" s="30" t="n">
        <x:f>H4-I4</x:f>
        <x:v>500</x:v>
      </x:c>
    </x:row>
    <x:row r="5" ht="26.399999618530273" hidden="0" customHeight="1">
      <x:c r="A5" s="28" t="str">
        <x:v>L003</x:v>
      </x:c>
      <x:c r="B5" s="28" t="str">
        <x:v>Kemar White</x:v>
      </x:c>
      <x:c r="C5" s="28" t="str">
        <x:v>STUDENT</x:v>
      </x:c>
      <x:c r="D5" s="28" t="str">
        <x:v>Island History</x:v>
      </x:c>
      <x:c r="E5" s="28" t="str">
        <x:v>History</x:v>
      </x:c>
      <x:c r="F5" s="28" t="n">
        <x:v>0</x:v>
      </x:c>
      <x:c r="G5" s="30" t="n">
        <x:v>100</x:v>
      </x:c>
      <x:c r="H5" s="30" t="n">
        <x:f>F5*G5</x:f>
        <x:v>0</x:v>
      </x:c>
      <x:c r="I5" s="28" t="n">
        <x:f>IF(C5="STUDENT",H5*$L$2,0)</x:f>
        <x:v>0</x:v>
      </x:c>
      <x:c r="J5" s="30" t="n">
        <x:f>H5-I5</x:f>
        <x:v>0</x:v>
      </x:c>
    </x:row>
    <x:row r="6" ht="39.599998474121094" hidden="0" customHeight="1">
      <x:c r="A6" s="28" t="str">
        <x:v>L004</x:v>
      </x:c>
      <x:c r="B6" s="28" t="str">
        <x:v>Sasha Morgan</x:v>
      </x:c>
      <x:c r="C6" s="28" t="str">
        <x:v>STUDENT</x:v>
      </x:c>
      <x:c r="D6" s="28" t="str">
        <x:v>Physics Made Clear</x:v>
      </x:c>
      <x:c r="E6" s="28" t="str">
        <x:v>Science</x:v>
      </x:c>
      <x:c r="F6" s="28" t="n">
        <x:v>2</x:v>
      </x:c>
      <x:c r="G6" s="30" t="n">
        <x:v>100</x:v>
      </x:c>
      <x:c r="H6" s="30" t="n">
        <x:f>F6*G6</x:f>
        <x:v>200</x:v>
      </x:c>
      <x:c r="I6" s="28" t="n">
        <x:f>IF(C6="STUDENT",H6*$L$2,0)</x:f>
        <x:v>50</x:v>
      </x:c>
      <x:c r="J6" s="30" t="n">
        <x:f>H6-I6</x:f>
        <x:v>150</x:v>
      </x:c>
    </x:row>
    <x:row r="7" ht="26.399999618530273" hidden="0" customHeight="1">
      <x:c r="A7" s="28" t="str">
        <x:v>L005</x:v>
      </x:c>
      <x:c r="B7" s="28" t="str">
        <x:v>Denise Brown</x:v>
      </x:c>
      <x:c r="C7" s="28" t="str">
        <x:v>ADULT</x:v>
      </x:c>
      <x:c r="D7" s="28" t="str">
        <x:v>Healthy Living</x:v>
      </x:c>
      <x:c r="E7" s="28" t="str">
        <x:v>Health</x:v>
      </x:c>
      <x:c r="F7" s="28" t="n">
        <x:v>7</x:v>
      </x:c>
      <x:c r="G7" s="30" t="n">
        <x:v>100</x:v>
      </x:c>
      <x:c r="H7" s="30" t="n">
        <x:f>F7*G7</x:f>
        <x:v>700</x:v>
      </x:c>
      <x:c r="I7" s="28" t="n">
        <x:f>IF(C7="STUDENT",H7*$L$2,0)</x:f>
        <x:v>0</x:v>
      </x:c>
      <x:c r="J7" s="30" t="n">
        <x:f>H7-I7</x:f>
        <x:v>700</x:v>
      </x:c>
    </x:row>
    <x:row r="8" ht="39.599998474121094" hidden="0" customHeight="1">
      <x:c r="A8" s="28" t="str">
        <x:v>L006</x:v>
      </x:c>
      <x:c r="B8" s="28" t="str">
        <x:v>Andre Blake</x:v>
      </x:c>
      <x:c r="C8" s="28" t="str">
        <x:v>ADULT</x:v>
      </x:c>
      <x:c r="D8" s="28" t="str">
        <x:v>Web Design Guide</x:v>
      </x:c>
      <x:c r="E8" s="28" t="str">
        <x:v>Technology</x:v>
      </x:c>
      <x:c r="F8" s="28" t="n">
        <x:v>1</x:v>
      </x:c>
      <x:c r="G8" s="30" t="n">
        <x:v>100</x:v>
      </x:c>
      <x:c r="H8" s="30" t="n">
        <x:f>F8*G8</x:f>
        <x:v>100</x:v>
      </x:c>
      <x:c r="I8" s="28" t="n">
        <x:f>IF(C8="STUDENT",H8*$L$2,0)</x:f>
        <x:v>0</x:v>
      </x:c>
      <x:c r="J8" s="30" t="n">
        <x:f>H8-I8</x:f>
        <x:v>100</x:v>
      </x:c>
    </x:row>
    <x:row r="9" ht="39.599998474121094" hidden="0" customHeight="1">
      <x:c r="A9" s="28" t="str">
        <x:v>L007</x:v>
      </x:c>
      <x:c r="B9" s="28" t="str">
        <x:v>Nadia King</x:v>
      </x:c>
      <x:c r="C9" s="28" t="str">
        <x:v>STUDENT</x:v>
      </x:c>
      <x:c r="D9" s="28" t="str">
        <x:v>CSEC Mathematics</x:v>
      </x:c>
      <x:c r="E9" s="28" t="str">
        <x:v>Education</x:v>
      </x:c>
      <x:c r="F9" s="28" t="n">
        <x:v>4</x:v>
      </x:c>
      <x:c r="G9" s="30" t="n">
        <x:v>100</x:v>
      </x:c>
      <x:c r="H9" s="30" t="n">
        <x:f>F9*G9</x:f>
        <x:v>400</x:v>
      </x:c>
      <x:c r="I9" s="28" t="n">
        <x:f>IF(C9="STUDENT",H9*$L$2,0)</x:f>
        <x:v>100</x:v>
      </x:c>
      <x:c r="J9" s="30" t="n">
        <x:f>H9-I9</x:f>
        <x:v>300</x:v>
      </x:c>
    </x:row>
    <x:row r="10" ht="26.399999618530273" hidden="0" customHeight="1">
      <x:c r="A10" s="28" t="str">
        <x:v>L008</x:v>
      </x:c>
      <x:c r="B10" s="28" t="str">
        <x:v>Ruth Grant</x:v>
      </x:c>
      <x:c r="C10" s="28" t="str">
        <x:v>ADULT</x:v>
      </x:c>
      <x:c r="D10" s="28" t="str">
        <x:v>Jamaican Cookery</x:v>
      </x:c>
      <x:c r="E10" s="28" t="str">
        <x:v>Lifestyle</x:v>
      </x:c>
      <x:c r="F10" s="28" t="n">
        <x:v>6</x:v>
      </x:c>
      <x:c r="G10" s="30" t="n">
        <x:v>100</x:v>
      </x:c>
      <x:c r="H10" s="30" t="n">
        <x:f>F10*G10</x:f>
        <x:v>600</x:v>
      </x:c>
      <x:c r="I10" s="28" t="n">
        <x:f>IF(C10="STUDENT",H10*$L$2,0)</x:f>
        <x:v>0</x:v>
      </x:c>
      <x:c r="J10" s="30" t="n">
        <x:f>H10-I10</x:f>
        <x:v>600</x:v>
      </x:c>
    </x:row>
    <x:row r="11" ht="26.399999618530273" hidden="0" customHeight="1">
      <x:c r="A11" s="28" t="str">
        <x:v>L009</x:v>
      </x:c>
      <x:c r="B11" s="28" t="str">
        <x:v>Owen Cole</x:v>
      </x:c>
      <x:c r="C11" s="28" t="str">
        <x:v>STUDENT</x:v>
      </x:c>
      <x:c r="D11" s="28" t="str">
        <x:v>Biology Today</x:v>
      </x:c>
      <x:c r="E11" s="28" t="str">
        <x:v>Science</x:v>
      </x:c>
      <x:c r="F11" s="28" t="n">
        <x:v>2</x:v>
      </x:c>
      <x:c r="G11" s="30" t="n">
        <x:v>100</x:v>
      </x:c>
      <x:c r="H11" s="30" t="n">
        <x:f>F11*G11</x:f>
        <x:v>200</x:v>
      </x:c>
      <x:c r="I11" s="28" t="n">
        <x:f>IF(C11="STUDENT",H11*$L$2,0)</x:f>
        <x:v>50</x:v>
      </x:c>
      <x:c r="J11" s="30" t="n">
        <x:f>H11-I11</x:f>
        <x:v>150</x:v>
      </x:c>
    </x:row>
    <x:row r="12" ht="26.399999618530273" hidden="0" customHeight="1">
      <x:c r="A12" s="28" t="str">
        <x:v>L010</x:v>
      </x:c>
      <x:c r="B12" s="28" t="str">
        <x:v>Maya Lewis</x:v>
      </x:c>
      <x:c r="C12" s="28" t="str">
        <x:v>ADULT</x:v>
      </x:c>
      <x:c r="D12" s="28" t="str">
        <x:v>Business Basics</x:v>
      </x:c>
      <x:c r="E12" s="28" t="str">
        <x:v>Business</x:v>
      </x:c>
      <x:c r="F12" s="28" t="n">
        <x:v>0</x:v>
      </x:c>
      <x:c r="G12" s="30" t="n">
        <x:v>100</x:v>
      </x:c>
      <x:c r="H12" s="30" t="n">
        <x:f>F12*G12</x:f>
        <x:v>0</x:v>
      </x:c>
      <x:c r="I12" s="28" t="n">
        <x:f>IF(C12="STUDENT",H12*$L$2,0)</x:f>
        <x:v>0</x:v>
      </x:c>
      <x:c r="J12" s="30" t="n">
        <x:f>H12-I12</x:f>
        <x:v>0</x:v>
      </x:c>
    </x:row>
    <x:row r="13" ht="39.599998474121094" hidden="0" customHeight="1">
      <x:c r="A13" s="28" t="str">
        <x:v>L011</x:v>
      </x:c>
      <x:c r="B13" s="28" t="str">
        <x:v>Troy James</x:v>
      </x:c>
      <x:c r="C13" s="28" t="str">
        <x:v>STUDENT</x:v>
      </x:c>
      <x:c r="D13" s="28" t="str">
        <x:v>Poems of the Caribbean</x:v>
      </x:c>
      <x:c r="E13" s="28" t="str">
        <x:v>Literature</x:v>
      </x:c>
      <x:c r="F13" s="28" t="n">
        <x:v>8</x:v>
      </x:c>
      <x:c r="G13" s="30" t="n">
        <x:v>100</x:v>
      </x:c>
      <x:c r="H13" s="30" t="n">
        <x:f>F13*G13</x:f>
        <x:v>800</x:v>
      </x:c>
      <x:c r="I13" s="28" t="n">
        <x:f>IF(C13="STUDENT",H13*$L$2,0)</x:f>
        <x:v>200</x:v>
      </x:c>
      <x:c r="J13" s="30" t="n">
        <x:f>H13-I13</x:f>
        <x:v>600</x:v>
      </x:c>
    </x:row>
    <x:row r="14" ht="26.399999618530273" hidden="0" customHeight="1">
      <x:c r="A14" s="28" t="str">
        <x:v>L012</x:v>
      </x:c>
      <x:c r="B14" s="28" t="str">
        <x:v>Sarah Reid</x:v>
      </x:c>
      <x:c r="C14" s="28" t="str">
        <x:v>ADULT</x:v>
      </x:c>
      <x:c r="D14" s="28" t="str">
        <x:v>Database Essentials</x:v>
      </x:c>
      <x:c r="E14" s="28" t="str">
        <x:v>Technology</x:v>
      </x:c>
      <x:c r="F14" s="28" t="n">
        <x:v>3</x:v>
      </x:c>
      <x:c r="G14" s="30" t="n">
        <x:v>100</x:v>
      </x:c>
      <x:c r="H14" s="30" t="n">
        <x:f>F14*G14</x:f>
        <x:v>300</x:v>
      </x:c>
      <x:c r="I14" s="28" t="n">
        <x:f>IF(C14="STUDENT",H14*$L$2,0)</x:f>
        <x:v>0</x:v>
      </x:c>
      <x:c r="J14" s="30" t="n">
        <x:f>H14-I14</x:f>
        <x:v>300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 ht="28" customHeight="1">
      <x:c r="A1" s="4" t="str">
        <x:v>SPARK REFERENCE - DO NOT SUBMIT | HarbourView Community Library Summary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Key measure</x:v>
      </x:c>
      <x:c r="B3" s="11" t="str">
        <x:v>Result</x:v>
      </x:c>
    </x:row>
    <x:row r="4">
      <x:c r="A4" s="36" t="str">
        <x:v>Total fines</x:v>
      </x:c>
      <x:c r="B4" s="37" t="n">
        <x:f>SUM(Loans!J3:J14)</x:f>
        <x:v>3625</x:v>
      </x:c>
    </x:row>
    <x:row r="5">
      <x:c r="A5" s="36" t="str">
        <x:v>Average fine</x:v>
      </x:c>
      <x:c r="B5" s="37" t="n">
        <x:f>AVERAGE(Loans!J3:J14)</x:f>
        <x:v>302.0833333333333</x:v>
      </x:c>
    </x:row>
    <x:row r="6">
      <x:c r="A6" s="36" t="str">
        <x:v>Overdue loans</x:v>
      </x:c>
      <x:c r="B6" s="39" t="n">
        <x:f>COUNTIF(Loans!F3:F14,"&gt;0")</x:f>
        <x:v>10</x:v>
      </x:c>
    </x:row>
    <x:row r="7">
      <x:c r="A7" s="36" t="str">
        <x:v>Student loans</x:v>
      </x:c>
      <x:c r="B7" s="39" t="n">
        <x:f>COUNTIF(Loans!C3:C14,"STUDENT")</x:f>
        <x:v>6</x:v>
      </x:c>
    </x:row>
    <x:row r="10">
      <x:c r="A10" s="21" t="str">
        <x:v>Category / Code</x:v>
      </x:c>
      <x:c r="B10" s="21" t="str">
        <x:v>Value</x:v>
      </x:c>
    </x:row>
    <x:row r="11">
      <x:c r="A11" s="36" t="str">
        <x:v>Literature</x:v>
      </x:c>
      <x:c r="B11" s="37" t="n">
        <x:f>SUMIF(Loans!$E$3:$E$14,A11,Loans!$J$3:$J$14)</x:f>
        <x:v>825</x:v>
      </x:c>
    </x:row>
    <x:row r="12">
      <x:c r="A12" s="36" t="str">
        <x:v>Technology</x:v>
      </x:c>
      <x:c r="B12" s="37" t="n">
        <x:f>SUMIF(Loans!$E$3:$E$14,A12,Loans!$J$3:$J$14)</x:f>
        <x:v>900</x:v>
      </x:c>
    </x:row>
    <x:row r="13">
      <x:c r="A13" s="36" t="str">
        <x:v>History</x:v>
      </x:c>
      <x:c r="B13" s="37" t="n">
        <x:f>SUMIF(Loans!$E$3:$E$14,A13,Loans!$J$3:$J$14)</x:f>
        <x:v>0</x:v>
      </x:c>
    </x:row>
    <x:row r="14">
      <x:c r="A14" s="36" t="str">
        <x:v>Science</x:v>
      </x:c>
      <x:c r="B14" s="37" t="n">
        <x:f>SUMIF(Loans!$E$3:$E$14,A14,Loans!$J$3:$J$14)</x:f>
        <x:v>300</x:v>
      </x:c>
    </x:row>
    <x:row r="15">
      <x:c r="A15" s="36" t="str">
        <x:v>Health</x:v>
      </x:c>
      <x:c r="B15" s="37" t="n">
        <x:f>SUMIF(Loans!$E$3:$E$14,A15,Loans!$J$3:$J$14)</x:f>
        <x:v>700</x:v>
      </x:c>
    </x:row>
    <x:row r="16">
      <x:c r="A16" s="36" t="str">
        <x:v>Education</x:v>
      </x:c>
      <x:c r="B16" s="37" t="n">
        <x:f>SUMIF(Loans!$E$3:$E$14,A16,Loans!$J$3:$J$14)</x:f>
        <x:v>300</x:v>
      </x:c>
    </x:row>
    <x:row r="17">
      <x:c r="A17" s="36" t="str">
        <x:v>Lifestyle</x:v>
      </x:c>
      <x:c r="B17" s="37" t="n">
        <x:f>SUMIF(Loans!$E$3:$E$14,A17,Loans!$J$3:$J$14)</x:f>
        <x:v>600</x:v>
      </x:c>
    </x:row>
    <x:row r="18">
      <x:c r="A18" s="36" t="str">
        <x:v>Business</x:v>
      </x:c>
      <x:c r="B18" s="37" t="n">
        <x:f>SUMIF(Loans!$E$3:$E$14,A18,Loans!$J$3:$J$14)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27e0e007c914314"/>
</x:worksheet>
</file>

<file path=xl/worksheets/sheet3.xml><?xml version="1.0" encoding="utf-8"?>
<x:worksheet xmlns:x="http://schemas.openxmlformats.org/spreadsheetml/2006/main">
  <x:sheetFormatPr defaultRowHeight="15"/>
  <x:cols>
    <x:col min="1" max="1" width="73.12999725341797" hidden="0" customWidth="1"/>
    <x:col min="2" max="2" width="4.75" hidden="0" customWidth="1"/>
  </x:cols>
  <x:sheetData>
    <x:row r="1">
      <x:c r="A1" s="33" t="str">
        <x:v>SPARK REFERENCE - DO NOT SUBMIT | HarbourView Community Library Lookups</x:v>
      </x:c>
      <x:c r="B1" s="33"/>
    </x:row>
    <x:row r="2">
      <x:c r="A2" s="11" t="str">
        <x:v>Rate</x:v>
      </x:c>
      <x:c r="B2" s="11" t="str">
        <x:v>Value</x:v>
      </x:c>
    </x:row>
    <x:row r="3">
      <x:c r="A3" s="36" t="str">
        <x:v>StudentConcession</x:v>
      </x:c>
      <x:c r="B3" s="37" t="n">
        <x:v>0.25</x:v>
      </x:c>
    </x:row>
  </x:sheetData>
  <x:mergeCells>
    <x:mergeCell ref="A1:B1"/>
  </x:mergeCells>
  <x:pageMargins left="0.7" right="0.7" top="0.75" bottom="0.75" header="0.3" footer="0.3"/>
</x:worksheet>
</file>