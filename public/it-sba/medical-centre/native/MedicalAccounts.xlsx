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eca5a69c8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f7a151c6fdd54998"/>
    <x:sheet xmlns:r="http://schemas.openxmlformats.org/officeDocument/2006/relationships" name="Dashboard" sheetId="2" r:id="R14a3d1c934fd45c4"/>
    <x:sheet xmlns:r="http://schemas.openxmlformats.org/officeDocument/2006/relationships" name="Services" sheetId="3" r:id="R003c4337f5fe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75E"/>
      <x:name val="Carlito"/>
    </x:font>
    <x:font>
      <x:i/>
      <x:sz val="11"/>
      <x:color rgb="FF64748B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0D8069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480c99b0a43f3" /><Relationship Type="http://schemas.openxmlformats.org/officeDocument/2006/relationships/theme" Target="/xl/theme/theme1.xml" Id="R71d576d1ede3443a" /><Relationship Type="http://schemas.openxmlformats.org/officeDocument/2006/relationships/sharedStrings" Target="/xl/sharedStrings.xml" Id="R69ec31596a9c4343" /><Relationship Type="http://schemas.openxmlformats.org/officeDocument/2006/relationships/worksheet" Target="/xl/worksheets/sheet1.xml" Id="Rf7a151c6fdd54998" /><Relationship Type="http://schemas.openxmlformats.org/officeDocument/2006/relationships/worksheet" Target="/xl/worksheets/sheet2.xml" Id="R14a3d1c934fd45c4" /><Relationship Type="http://schemas.openxmlformats.org/officeDocument/2006/relationships/worksheet" Target="/xl/worksheets/sheet3.xml" Id="R003c4337f5fe41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b4808c3b7c42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Charges by Service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b4808c3b7c42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b7ff8d7f947446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5" t="str">
        <x:v>SPARK REFERENCE - DO NOT SUBMIT | IslandCare Medical Centre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M1" s="21" t="str">
        <x:v>Reference rate</x:v>
      </x:c>
    </x:row>
    <x:row r="2" ht="26.399999618530273" hidden="0" customHeight="1">
      <x:c r="A2" s="14" t="str">
        <x:v>PatientID</x:v>
      </x:c>
      <x:c r="B2" s="14" t="str">
        <x:v>FirstName</x:v>
      </x:c>
      <x:c r="C2" s="14" t="str">
        <x:v>LastName</x:v>
      </x:c>
      <x:c r="D2" s="14" t="str">
        <x:v>Age</x:v>
      </x:c>
      <x:c r="E2" s="14" t="str">
        <x:v>ServiceCode</x:v>
      </x:c>
      <x:c r="F2" s="14" t="str">
        <x:v>StandardFee</x:v>
      </x:c>
      <x:c r="G2" s="14" t="str">
        <x:v>PaidAmount</x:v>
      </x:c>
      <x:c r="H2" s="14" t="str">
        <x:v>SeniorDiscount</x:v>
      </x:c>
      <x:c r="I2" s="14" t="str">
        <x:v>AdjustedFee</x:v>
      </x:c>
      <x:c r="J2" s="14" t="str">
        <x:v>Balance</x:v>
      </x:c>
      <x:c r="K2" s="14" t="str">
        <x:v>Status</x:v>
      </x:c>
      <x:c r="M2" s="24" t="n">
        <x:v>0.05</x:v>
      </x:c>
    </x:row>
    <x:row r="3" ht="26.399999618530273" hidden="0" customHeight="1">
      <x:c r="A3" s="28" t="str">
        <x:v>P001</x:v>
      </x:c>
      <x:c r="B3" s="28" t="str">
        <x:v>Marlon</x:v>
      </x:c>
      <x:c r="C3" s="28" t="str">
        <x:v>Reid</x:v>
      </x:c>
      <x:c r="D3" s="28" t="n">
        <x:v>67</x:v>
      </x:c>
      <x:c r="E3" s="28" t="str">
        <x:v>GEN</x:v>
      </x:c>
      <x:c r="F3" s="30" t="n">
        <x:v>6500</x:v>
      </x:c>
      <x:c r="G3" s="30" t="n">
        <x:v>3000</x:v>
      </x:c>
      <x:c r="H3" s="30" t="n">
        <x:f>IF(D3&gt;=65,F3*$M$2,0)</x:f>
        <x:v>325</x:v>
      </x:c>
      <x:c r="I3" s="30" t="n">
        <x:f>F3-H3</x:f>
        <x:v>6175</x:v>
      </x:c>
      <x:c r="J3" s="30" t="n">
        <x:f>I3-G3</x:f>
        <x:v>3175</x:v>
      </x:c>
      <x:c r="K3" s="28" t="str">
        <x:f>IF(J3&gt;0,"Outstanding","Paid")</x:f>
        <x:v>Outstanding</x:v>
      </x:c>
      <x:c r="M3" s="26" t="str">
        <x:v>Senior discount</x:v>
      </x:c>
    </x:row>
    <x:row r="4" ht="15" hidden="0" customHeight="1">
      <x:c r="A4" s="28" t="str">
        <x:v>P002</x:v>
      </x:c>
      <x:c r="B4" s="28" t="str">
        <x:v>Keisha</x:v>
      </x:c>
      <x:c r="C4" s="28" t="str">
        <x:v>Hall</x:v>
      </x:c>
      <x:c r="D4" s="28" t="n">
        <x:v>41</x:v>
      </x:c>
      <x:c r="E4" s="28" t="str">
        <x:v>WEL</x:v>
      </x:c>
      <x:c r="F4" s="30" t="n">
        <x:v>8500</x:v>
      </x:c>
      <x:c r="G4" s="30" t="n">
        <x:v>8500</x:v>
      </x:c>
      <x:c r="H4" s="30" t="n">
        <x:f>IF(D4&gt;=65,F4*$M$2,0)</x:f>
        <x:v>0</x:v>
      </x:c>
      <x:c r="I4" s="30" t="n">
        <x:f>F4-H4</x:f>
        <x:v>8500</x:v>
      </x:c>
      <x:c r="J4" s="30" t="n">
        <x:f>I4-G4</x:f>
        <x:v>0</x:v>
      </x:c>
      <x:c r="K4" s="28" t="str">
        <x:f>IF(J4&gt;0,"Outstanding","Paid")</x:f>
        <x:v>Paid</x:v>
      </x:c>
    </x:row>
    <x:row r="5" ht="26.399999618530273" hidden="0" customHeight="1">
      <x:c r="A5" s="28" t="str">
        <x:v>P003</x:v>
      </x:c>
      <x:c r="B5" s="28" t="str">
        <x:v>Noel</x:v>
      </x:c>
      <x:c r="C5" s="28" t="str">
        <x:v>James</x:v>
      </x:c>
      <x:c r="D5" s="28" t="n">
        <x:v>72</x:v>
      </x:c>
      <x:c r="E5" s="28" t="str">
        <x:v>DIA</x:v>
      </x:c>
      <x:c r="F5" s="30" t="n">
        <x:v>12000</x:v>
      </x:c>
      <x:c r="G5" s="30" t="n">
        <x:v>5000</x:v>
      </x:c>
      <x:c r="H5" s="30" t="n">
        <x:f>IF(D5&gt;=65,F5*$M$2,0)</x:f>
        <x:v>600</x:v>
      </x:c>
      <x:c r="I5" s="30" t="n">
        <x:f>F5-H5</x:f>
        <x:v>11400</x:v>
      </x:c>
      <x:c r="J5" s="30" t="n">
        <x:f>I5-G5</x:f>
        <x:v>6400</x:v>
      </x:c>
      <x:c r="K5" s="28" t="str">
        <x:f>IF(J5&gt;0,"Outstanding","Paid")</x:f>
        <x:v>Outstanding</x:v>
      </x:c>
    </x:row>
    <x:row r="6" ht="15" hidden="0" customHeight="1">
      <x:c r="A6" s="28" t="str">
        <x:v>P004</x:v>
      </x:c>
      <x:c r="B6" s="28" t="str">
        <x:v>Tiana</x:v>
      </x:c>
      <x:c r="C6" s="28" t="str">
        <x:v>Morris</x:v>
      </x:c>
      <x:c r="D6" s="28" t="n">
        <x:v>29</x:v>
      </x:c>
      <x:c r="E6" s="28" t="str">
        <x:v>GEN</x:v>
      </x:c>
      <x:c r="F6" s="30" t="n">
        <x:v>6500</x:v>
      </x:c>
      <x:c r="G6" s="30" t="n">
        <x:v>6500</x:v>
      </x:c>
      <x:c r="H6" s="30" t="n">
        <x:f>IF(D6&gt;=65,F6*$M$2,0)</x:f>
        <x:v>0</x:v>
      </x:c>
      <x:c r="I6" s="30" t="n">
        <x:f>F6-H6</x:f>
        <x:v>6500</x:v>
      </x:c>
      <x:c r="J6" s="30" t="n">
        <x:f>I6-G6</x:f>
        <x:v>0</x:v>
      </x:c>
      <x:c r="K6" s="28" t="str">
        <x:f>IF(J6&gt;0,"Outstanding","Paid")</x:f>
        <x:v>Paid</x:v>
      </x:c>
    </x:row>
    <x:row r="7" ht="26.399999618530273" hidden="0" customHeight="1">
      <x:c r="A7" s="28" t="str">
        <x:v>P005</x:v>
      </x:c>
      <x:c r="B7" s="28" t="str">
        <x:v>Howard</x:v>
      </x:c>
      <x:c r="C7" s="28" t="str">
        <x:v>Grant</x:v>
      </x:c>
      <x:c r="D7" s="28" t="n">
        <x:v>65</x:v>
      </x:c>
      <x:c r="E7" s="28" t="str">
        <x:v>WEL</x:v>
      </x:c>
      <x:c r="F7" s="30" t="n">
        <x:v>8500</x:v>
      </x:c>
      <x:c r="G7" s="30" t="n">
        <x:v>4000</x:v>
      </x:c>
      <x:c r="H7" s="30" t="n">
        <x:f>IF(D7&gt;=65,F7*$M$2,0)</x:f>
        <x:v>425</x:v>
      </x:c>
      <x:c r="I7" s="30" t="n">
        <x:f>F7-H7</x:f>
        <x:v>8075</x:v>
      </x:c>
      <x:c r="J7" s="30" t="n">
        <x:f>I7-G7</x:f>
        <x:v>4075</x:v>
      </x:c>
      <x:c r="K7" s="28" t="str">
        <x:f>IF(J7&gt;0,"Outstanding","Paid")</x:f>
        <x:v>Outstanding</x:v>
      </x:c>
    </x:row>
    <x:row r="8" ht="15" hidden="0" customHeight="1">
      <x:c r="A8" s="28" t="str">
        <x:v>P006</x:v>
      </x:c>
      <x:c r="B8" s="28" t="str">
        <x:v>Safiya</x:v>
      </x:c>
      <x:c r="C8" s="28" t="str">
        <x:v>Brown</x:v>
      </x:c>
      <x:c r="D8" s="28" t="n">
        <x:v>36</x:v>
      </x:c>
      <x:c r="E8" s="28" t="str">
        <x:v>DIA</x:v>
      </x:c>
      <x:c r="F8" s="30" t="n">
        <x:v>12000</x:v>
      </x:c>
      <x:c r="G8" s="30" t="n">
        <x:v>12000</x:v>
      </x:c>
      <x:c r="H8" s="30" t="n">
        <x:f>IF(D8&gt;=65,F8*$M$2,0)</x:f>
        <x:v>0</x:v>
      </x:c>
      <x:c r="I8" s="30" t="n">
        <x:f>F8-H8</x:f>
        <x:v>12000</x:v>
      </x:c>
      <x:c r="J8" s="30" t="n">
        <x:f>I8-G8</x:f>
        <x:v>0</x:v>
      </x:c>
      <x:c r="K8" s="28" t="str">
        <x:f>IF(J8&gt;0,"Outstanding","Paid")</x:f>
        <x:v>Paid</x:v>
      </x:c>
    </x:row>
    <x:row r="9" ht="26.399999618530273" hidden="0" customHeight="1">
      <x:c r="A9" s="28" t="str">
        <x:v>P007</x:v>
      </x:c>
      <x:c r="B9" s="28" t="str">
        <x:v>Althea</x:v>
      </x:c>
      <x:c r="C9" s="28" t="str">
        <x:v>King</x:v>
      </x:c>
      <x:c r="D9" s="28" t="n">
        <x:v>70</x:v>
      </x:c>
      <x:c r="E9" s="28" t="str">
        <x:v>GEN</x:v>
      </x:c>
      <x:c r="F9" s="30" t="n">
        <x:v>6500</x:v>
      </x:c>
      <x:c r="G9" s="30" t="n">
        <x:v>2000</x:v>
      </x:c>
      <x:c r="H9" s="30" t="n">
        <x:f>IF(D9&gt;=65,F9*$M$2,0)</x:f>
        <x:v>325</x:v>
      </x:c>
      <x:c r="I9" s="30" t="n">
        <x:f>F9-H9</x:f>
        <x:v>6175</x:v>
      </x:c>
      <x:c r="J9" s="30" t="n">
        <x:f>I9-G9</x:f>
        <x:v>4175</x:v>
      </x:c>
      <x:c r="K9" s="28" t="str">
        <x:f>IF(J9&gt;0,"Outstanding","Paid")</x:f>
        <x:v>Outstanding</x:v>
      </x:c>
    </x:row>
    <x:row r="10" ht="26.399999618530273" hidden="0" customHeight="1">
      <x:c r="A10" s="28" t="str">
        <x:v>P008</x:v>
      </x:c>
      <x:c r="B10" s="28" t="str">
        <x:v>Rohan</x:v>
      </x:c>
      <x:c r="C10" s="28" t="str">
        <x:v>Blake</x:v>
      </x:c>
      <x:c r="D10" s="28" t="n">
        <x:v>52</x:v>
      </x:c>
      <x:c r="E10" s="28" t="str">
        <x:v>WEL</x:v>
      </x:c>
      <x:c r="F10" s="30" t="n">
        <x:v>8500</x:v>
      </x:c>
      <x:c r="G10" s="30" t="n">
        <x:v>6000</x:v>
      </x:c>
      <x:c r="H10" s="30" t="n">
        <x:f>IF(D10&gt;=65,F10*$M$2,0)</x:f>
        <x:v>0</x:v>
      </x:c>
      <x:c r="I10" s="30" t="n">
        <x:f>F10-H10</x:f>
        <x:v>8500</x:v>
      </x:c>
      <x:c r="J10" s="30" t="n">
        <x:f>I10-G10</x:f>
        <x:v>2500</x:v>
      </x:c>
      <x:c r="K10" s="28" t="str">
        <x:f>IF(J10&gt;0,"Outstanding","Paid")</x:f>
        <x:v>Outstanding</x:v>
      </x:c>
    </x:row>
    <x:row r="11" ht="26.399999618530273" hidden="0" customHeight="1">
      <x:c r="A11" s="28" t="str">
        <x:v>P009</x:v>
      </x:c>
      <x:c r="B11" s="28" t="str">
        <x:v>Nicole</x:v>
      </x:c>
      <x:c r="C11" s="28" t="str">
        <x:v>Campbell</x:v>
      </x:c>
      <x:c r="D11" s="28" t="n">
        <x:v>33</x:v>
      </x:c>
      <x:c r="E11" s="28" t="str">
        <x:v>DIA</x:v>
      </x:c>
      <x:c r="F11" s="30" t="n">
        <x:v>12000</x:v>
      </x:c>
      <x:c r="G11" s="30" t="n">
        <x:v>9000</x:v>
      </x:c>
      <x:c r="H11" s="30" t="n">
        <x:f>IF(D11&gt;=65,F11*$M$2,0)</x:f>
        <x:v>0</x:v>
      </x:c>
      <x:c r="I11" s="30" t="n">
        <x:f>F11-H11</x:f>
        <x:v>12000</x:v>
      </x:c>
      <x:c r="J11" s="30" t="n">
        <x:f>I11-G11</x:f>
        <x:v>3000</x:v>
      </x:c>
      <x:c r="K11" s="28" t="str">
        <x:f>IF(J11&gt;0,"Outstanding","Paid")</x:f>
        <x:v>Outstanding</x:v>
      </x:c>
    </x:row>
    <x:row r="12" ht="26.399999618530273" hidden="0" customHeight="1">
      <x:c r="A12" s="28" t="str">
        <x:v>P010</x:v>
      </x:c>
      <x:c r="B12" s="28" t="str">
        <x:v>Vernon</x:v>
      </x:c>
      <x:c r="C12" s="28" t="str">
        <x:v>Lewis</x:v>
      </x:c>
      <x:c r="D12" s="28" t="n">
        <x:v>66</x:v>
      </x:c>
      <x:c r="E12" s="28" t="str">
        <x:v>WEL</x:v>
      </x:c>
      <x:c r="F12" s="30" t="n">
        <x:v>8500</x:v>
      </x:c>
      <x:c r="G12" s="30" t="n">
        <x:v>5000</x:v>
      </x:c>
      <x:c r="H12" s="30" t="n">
        <x:f>IF(D12&gt;=65,F12*$M$2,0)</x:f>
        <x:v>425</x:v>
      </x:c>
      <x:c r="I12" s="30" t="n">
        <x:f>F12-H12</x:f>
        <x:v>8075</x:v>
      </x:c>
      <x:c r="J12" s="30" t="n">
        <x:f>I12-G12</x:f>
        <x:v>3075</x:v>
      </x:c>
      <x:c r="K12" s="28" t="str">
        <x:f>IF(J12&gt;0,"Outstanding","Paid")</x:f>
        <x:v>Outstanding</x:v>
      </x:c>
    </x:row>
    <x:row r="13" ht="15" hidden="0" customHeight="1">
      <x:c r="A13" s="28" t="str">
        <x:v>P011</x:v>
      </x:c>
      <x:c r="B13" s="28" t="str">
        <x:v>Janelle</x:v>
      </x:c>
      <x:c r="C13" s="28" t="str">
        <x:v>Morgan</x:v>
      </x:c>
      <x:c r="D13" s="28" t="n">
        <x:v>45</x:v>
      </x:c>
      <x:c r="E13" s="28" t="str">
        <x:v>GEN</x:v>
      </x:c>
      <x:c r="F13" s="30" t="n">
        <x:v>6500</x:v>
      </x:c>
      <x:c r="G13" s="30" t="n">
        <x:v>6500</x:v>
      </x:c>
      <x:c r="H13" s="30" t="n">
        <x:f>IF(D13&gt;=65,F13*$M$2,0)</x:f>
        <x:v>0</x:v>
      </x:c>
      <x:c r="I13" s="30" t="n">
        <x:f>F13-H13</x:f>
        <x:v>6500</x:v>
      </x:c>
      <x:c r="J13" s="30" t="n">
        <x:f>I13-G13</x:f>
        <x:v>0</x:v>
      </x:c>
      <x:c r="K13" s="28" t="str">
        <x:f>IF(J13&gt;0,"Outstanding","Paid")</x:f>
        <x:v>Paid</x:v>
      </x:c>
    </x:row>
    <x:row r="14" ht="26.399999618530273" hidden="0" customHeight="1">
      <x:c r="A14" s="28" t="str">
        <x:v>P012</x:v>
      </x:c>
      <x:c r="B14" s="28" t="str">
        <x:v>Andre</x:v>
      </x:c>
      <x:c r="C14" s="28" t="str">
        <x:v>Cole</x:v>
      </x:c>
      <x:c r="D14" s="28" t="n">
        <x:v>74</x:v>
      </x:c>
      <x:c r="E14" s="28" t="str">
        <x:v>DIA</x:v>
      </x:c>
      <x:c r="F14" s="30" t="n">
        <x:v>12000</x:v>
      </x:c>
      <x:c r="G14" s="30" t="n">
        <x:v>7000</x:v>
      </x:c>
      <x:c r="H14" s="30" t="n">
        <x:f>IF(D14&gt;=65,F14*$M$2,0)</x:f>
        <x:v>600</x:v>
      </x:c>
      <x:c r="I14" s="30" t="n">
        <x:f>F14-H14</x:f>
        <x:v>11400</x:v>
      </x:c>
      <x:c r="J14" s="30" t="n">
        <x:f>I14-G14</x:f>
        <x:v>4400</x:v>
      </x:c>
      <x:c r="K14" s="28" t="str">
        <x:f>IF(J14&gt;0,"Outstanding","Paid")</x:f>
        <x:v>Outstanding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8" customHeight="1">
      <x:c r="A1" s="4" t="str">
        <x:v>SPARK REFERENCE - DO NOT SUBMIT | IslandCare Medical Centre Summary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Key measure</x:v>
      </x:c>
      <x:c r="B3" s="11" t="str">
        <x:v>Result</x:v>
      </x:c>
    </x:row>
    <x:row r="4">
      <x:c r="A4" s="36" t="str">
        <x:v>Total adjusted charges</x:v>
      </x:c>
      <x:c r="B4" s="37" t="n">
        <x:f>SUM(Accounts!I3:I14)</x:f>
        <x:v>105300</x:v>
      </x:c>
    </x:row>
    <x:row r="5">
      <x:c r="A5" s="36" t="str">
        <x:v>Total outstanding</x:v>
      </x:c>
      <x:c r="B5" s="37" t="n">
        <x:f>SUM(Accounts!J3:J14)</x:f>
        <x:v>30800</x:v>
      </x:c>
    </x:row>
    <x:row r="6">
      <x:c r="A6" s="36" t="str">
        <x:v>Average service charge</x:v>
      </x:c>
      <x:c r="B6" s="37" t="n">
        <x:f>AVERAGE(Accounts!I3:I14)</x:f>
        <x:v>8775</x:v>
      </x:c>
    </x:row>
    <x:row r="7">
      <x:c r="A7" s="36" t="str">
        <x:v>Unpaid visits</x:v>
      </x:c>
      <x:c r="B7" s="39" t="n">
        <x:f>COUNTIF(Accounts!K3:K14,"Outstanding")</x:f>
        <x:v>8</x:v>
      </x:c>
    </x:row>
    <x:row r="10">
      <x:c r="A10" s="21" t="str">
        <x:v>Category / Code</x:v>
      </x:c>
      <x:c r="B10" s="21" t="str">
        <x:v>Value</x:v>
      </x:c>
    </x:row>
    <x:row r="11">
      <x:c r="A11" s="36" t="str">
        <x:v>GEN</x:v>
      </x:c>
      <x:c r="B11" s="37" t="n">
        <x:f>SUMIF(Accounts!$E$3:$E$14,A11,Accounts!$I$2:$I$13)</x:f>
        <x:v>31475</x:v>
      </x:c>
    </x:row>
    <x:row r="12">
      <x:c r="A12" s="36" t="str">
        <x:v>WEL</x:v>
      </x:c>
      <x:c r="B12" s="37" t="n">
        <x:f>SUMIF(Accounts!$E$3:$E$14,A12,Accounts!$I$2:$I$13)</x:f>
        <x:v>30850</x:v>
      </x:c>
    </x:row>
    <x:row r="13">
      <x:c r="A13" s="36" t="str">
        <x:v>DIA</x:v>
      </x:c>
      <x:c r="B13" s="37" t="n">
        <x:f>SUMIF(Accounts!$E$3:$E$14,A13,Accounts!$I$2:$I$13)</x:f>
        <x:v>31575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b7ff8d7f947446c"/>
</x:worksheet>
</file>

<file path=xl/worksheets/sheet3.xml><?xml version="1.0" encoding="utf-8"?>
<x:worksheet xmlns:x="http://schemas.openxmlformats.org/spreadsheetml/2006/main">
  <x:sheetFormatPr defaultRowHeight="15"/>
  <x:cols>
    <x:col min="1" max="1" width="67" hidden="0" customWidth="1"/>
    <x:col min="2" max="2" width="16.25" hidden="0" customWidth="1"/>
    <x:col min="3" max="3" width="10.130000114440918" hidden="0" customWidth="1"/>
  </x:cols>
  <x:sheetData>
    <x:row r="1">
      <x:c r="A1" s="33" t="str">
        <x:v>SPARK REFERENCE - DO NOT SUBMIT | IslandCare Medical Centre Lookups</x:v>
      </x:c>
      <x:c r="B1" s="33"/>
      <x:c r="C1" s="33"/>
    </x:row>
    <x:row r="2">
      <x:c r="A2" s="11" t="str">
        <x:v>ServiceCode</x:v>
      </x:c>
      <x:c r="B2" s="11" t="str">
        <x:v>ServiceName</x:v>
      </x:c>
      <x:c r="C2" s="11" t="str">
        <x:v>StandardFee</x:v>
      </x:c>
    </x:row>
    <x:row r="3">
      <x:c r="A3" s="36" t="str">
        <x:v>GEN</x:v>
      </x:c>
      <x:c r="B3" s="36" t="str">
        <x:v>General Consultation</x:v>
      </x:c>
      <x:c r="C3" s="37" t="n">
        <x:v>6500</x:v>
      </x:c>
    </x:row>
    <x:row r="4">
      <x:c r="A4" s="36" t="str">
        <x:v>WEL</x:v>
      </x:c>
      <x:c r="B4" s="36" t="str">
        <x:v>Wellness Check</x:v>
      </x:c>
      <x:c r="C4" s="37" t="n">
        <x:v>8500</x:v>
      </x:c>
    </x:row>
    <x:row r="5">
      <x:c r="A5" s="36" t="str">
        <x:v>DIA</x:v>
      </x:c>
      <x:c r="B5" s="36" t="str">
        <x:v>Diagnostic Service</x:v>
      </x:c>
      <x:c r="C5" s="37" t="n">
        <x:v>12000</x:v>
      </x:c>
    </x:row>
  </x:sheetData>
  <x:mergeCells>
    <x:mergeCell ref="A1:C1"/>
  </x:mergeCells>
  <x:pageMargins left="0.7" right="0.7" top="0.75" bottom="0.75" header="0.3" footer="0.3"/>
</x:worksheet>
</file>