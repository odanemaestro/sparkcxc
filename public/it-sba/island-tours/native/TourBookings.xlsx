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f82dbf6e9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s" sheetId="1" r:id="R230d9de3974746c1"/>
    <x:sheet xmlns:r="http://schemas.openxmlformats.org/officeDocument/2006/relationships" name="Dashboard" sheetId="2" r:id="R879b2a5a0ad7406f"/>
    <x:sheet xmlns:r="http://schemas.openxmlformats.org/officeDocument/2006/relationships" name="Packages" sheetId="3" r:id="R206eb8fb095d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75E"/>
      <x:name val="Carlito"/>
    </x:font>
    <x:font>
      <x:i/>
      <x:sz val="11"/>
      <x:color rgb="FF64748B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D8069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1e2f6ba814d2e" /><Relationship Type="http://schemas.openxmlformats.org/officeDocument/2006/relationships/theme" Target="/xl/theme/theme1.xml" Id="R79855e1ab58d440f" /><Relationship Type="http://schemas.openxmlformats.org/officeDocument/2006/relationships/sharedStrings" Target="/xl/sharedStrings.xml" Id="Re3bcc3939613480a" /><Relationship Type="http://schemas.openxmlformats.org/officeDocument/2006/relationships/worksheet" Target="/xl/worksheets/sheet1.xml" Id="R230d9de3974746c1" /><Relationship Type="http://schemas.openxmlformats.org/officeDocument/2006/relationships/worksheet" Target="/xl/worksheets/sheet2.xml" Id="R879b2a5a0ad7406f" /><Relationship Type="http://schemas.openxmlformats.org/officeDocument/2006/relationships/worksheet" Target="/xl/worksheets/sheet3.xml" Id="R206eb8fb095d40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925996ea494c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 Value by Package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25996ea494c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35e0a5df7134f02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8" customHeight="1">
      <x:c r="A1" s="5" t="str">
        <x:v>SPARK REFERENCE - DO NOT SUBMIT | BlueWave Island Tours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N1" s="21" t="str">
        <x:v>Reference rate</x:v>
      </x:c>
    </x:row>
    <x:row r="2" ht="26.399999618530273" hidden="0" customHeight="1">
      <x:c r="A2" s="14" t="str">
        <x:v>BookingID</x:v>
      </x:c>
      <x:c r="B2" s="14" t="str">
        <x:v>CustomerName</x:v>
      </x:c>
      <x:c r="C2" s="14" t="str">
        <x:v>PackageCode</x:v>
      </x:c>
      <x:c r="D2" s="14" t="str">
        <x:v>Adults</x:v>
      </x:c>
      <x:c r="E2" s="14" t="str">
        <x:v>Children</x:v>
      </x:c>
      <x:c r="F2" s="14" t="str">
        <x:v>AmountPaid</x:v>
      </x:c>
      <x:c r="G2" s="14" t="str">
        <x:v>AdultRate</x:v>
      </x:c>
      <x:c r="H2" s="14" t="str">
        <x:v>ChildRate</x:v>
      </x:c>
      <x:c r="I2" s="14" t="str">
        <x:v>BookingCost</x:v>
      </x:c>
      <x:c r="J2" s="14" t="str">
        <x:v>Discount</x:v>
      </x:c>
      <x:c r="K2" s="14" t="str">
        <x:v>FinalCost</x:v>
      </x:c>
      <x:c r="L2" s="14" t="str">
        <x:v>Balance</x:v>
      </x:c>
      <x:c r="N2" s="24" t="n">
        <x:v>0.08</x:v>
      </x:c>
    </x:row>
    <x:row r="3" ht="26.399999618530273" hidden="0" customHeight="1">
      <x:c r="A3" s="28" t="str">
        <x:v>B001</x:v>
      </x:c>
      <x:c r="B3" s="28" t="str">
        <x:v>Nadia Cole</x:v>
      </x:c>
      <x:c r="C3" s="28" t="str">
        <x:v>CUL</x:v>
      </x:c>
      <x:c r="D3" s="28" t="n">
        <x:v>2</x:v>
      </x:c>
      <x:c r="E3" s="28" t="n">
        <x:v>1</x:v>
      </x:c>
      <x:c r="F3" s="30" t="n">
        <x:v>5000</x:v>
      </x:c>
      <x:c r="G3" s="30" t="n">
        <x:f>VLOOKUP(C3,Packages!$A$3:$D$5,3,FALSE)</x:f>
        <x:v>6000</x:v>
      </x:c>
      <x:c r="H3" s="30" t="n">
        <x:f>VLOOKUP(C3,Packages!$A$3:$D$5,4,FALSE)</x:f>
        <x:v>2500</x:v>
      </x:c>
      <x:c r="I3" s="30" t="n">
        <x:f>(D3*G3)+(E3*H3)</x:f>
        <x:v>14500</x:v>
      </x:c>
      <x:c r="J3" s="30" t="n">
        <x:f>IF(D3+E3&gt;=5,I3*$N$2,0)</x:f>
        <x:v>0</x:v>
      </x:c>
      <x:c r="K3" s="30" t="n">
        <x:f>I3-J3</x:f>
        <x:v>14500</x:v>
      </x:c>
      <x:c r="L3" s="30" t="n">
        <x:f>K3-F3</x:f>
        <x:v>9500</x:v>
      </x:c>
      <x:c r="N3" s="26" t="str">
        <x:v>Group discount</x:v>
      </x:c>
    </x:row>
    <x:row r="4" ht="15" hidden="0" customHeight="1">
      <x:c r="A4" s="28" t="str">
        <x:v>B002</x:v>
      </x:c>
      <x:c r="B4" s="28" t="str">
        <x:v>Eric Stone</x:v>
      </x:c>
      <x:c r="C4" s="28" t="str">
        <x:v>ADV</x:v>
      </x:c>
      <x:c r="D4" s="28" t="n">
        <x:v>4</x:v>
      </x:c>
      <x:c r="E4" s="28" t="n">
        <x:v>2</x:v>
      </x:c>
      <x:c r="F4" s="30" t="n">
        <x:v>12000</x:v>
      </x:c>
      <x:c r="G4" s="30" t="n">
        <x:f>VLOOKUP(C4,Packages!$A$3:$D$5,3,FALSE)</x:f>
        <x:v>7000</x:v>
      </x:c>
      <x:c r="H4" s="30" t="n">
        <x:f>VLOOKUP(C4,Packages!$A$3:$D$5,4,FALSE)</x:f>
        <x:v>4000</x:v>
      </x:c>
      <x:c r="I4" s="30" t="n">
        <x:f>(D4*G4)+(E4*H4)</x:f>
        <x:v>36000</x:v>
      </x:c>
      <x:c r="J4" s="30" t="n">
        <x:f>IF(D4+E4&gt;=5,I4*$N$2,0)</x:f>
        <x:v>2880</x:v>
      </x:c>
      <x:c r="K4" s="30" t="n">
        <x:f>I4-J4</x:f>
        <x:v>33120</x:v>
      </x:c>
      <x:c r="L4" s="30" t="n">
        <x:f>K4-F4</x:f>
        <x:v>21120</x:v>
      </x:c>
    </x:row>
    <x:row r="5" ht="26.399999618530273" hidden="0" customHeight="1">
      <x:c r="A5" s="28" t="str">
        <x:v>B003</x:v>
      </x:c>
      <x:c r="B5" s="28" t="str">
        <x:v>Maya Singh</x:v>
      </x:c>
      <x:c r="C5" s="28" t="str">
        <x:v>NAT</x:v>
      </x:c>
      <x:c r="D5" s="28" t="n">
        <x:v>1</x:v>
      </x:c>
      <x:c r="E5" s="28" t="n">
        <x:v>0</x:v>
      </x:c>
      <x:c r="F5" s="30" t="n">
        <x:v>4000</x:v>
      </x:c>
      <x:c r="G5" s="30" t="n">
        <x:f>VLOOKUP(C5,Packages!$A$3:$D$5,3,FALSE)</x:f>
        <x:v>7000</x:v>
      </x:c>
      <x:c r="H5" s="30" t="n">
        <x:f>VLOOKUP(C5,Packages!$A$3:$D$5,4,FALSE)</x:f>
        <x:v>3000</x:v>
      </x:c>
      <x:c r="I5" s="30" t="n">
        <x:f>(D5*G5)+(E5*H5)</x:f>
        <x:v>7000</x:v>
      </x:c>
      <x:c r="J5" s="30" t="n">
        <x:f>IF(D5+E5&gt;=5,I5*$N$2,0)</x:f>
        <x:v>0</x:v>
      </x:c>
      <x:c r="K5" s="30" t="n">
        <x:f>I5-J5</x:f>
        <x:v>7000</x:v>
      </x:c>
      <x:c r="L5" s="30" t="n">
        <x:f>K5-F5</x:f>
        <x:v>3000</x:v>
      </x:c>
    </x:row>
    <x:row r="6" ht="15" hidden="0" customHeight="1">
      <x:c r="A6" s="28" t="str">
        <x:v>B004</x:v>
      </x:c>
      <x:c r="B6" s="28" t="str">
        <x:v>Troy Lewis</x:v>
      </x:c>
      <x:c r="C6" s="28" t="str">
        <x:v>CUL</x:v>
      </x:c>
      <x:c r="D6" s="28" t="n">
        <x:v>3</x:v>
      </x:c>
      <x:c r="E6" s="28" t="n">
        <x:v>2</x:v>
      </x:c>
      <x:c r="F6" s="30" t="n">
        <x:v>15000</x:v>
      </x:c>
      <x:c r="G6" s="30" t="n">
        <x:f>VLOOKUP(C6,Packages!$A$3:$D$5,3,FALSE)</x:f>
        <x:v>6000</x:v>
      </x:c>
      <x:c r="H6" s="30" t="n">
        <x:f>VLOOKUP(C6,Packages!$A$3:$D$5,4,FALSE)</x:f>
        <x:v>2500</x:v>
      </x:c>
      <x:c r="I6" s="30" t="n">
        <x:f>(D6*G6)+(E6*H6)</x:f>
        <x:v>23000</x:v>
      </x:c>
      <x:c r="J6" s="30" t="n">
        <x:f>IF(D6+E6&gt;=5,I6*$N$2,0)</x:f>
        <x:v>1840</x:v>
      </x:c>
      <x:c r="K6" s="30" t="n">
        <x:f>I6-J6</x:f>
        <x:v>21160</x:v>
      </x:c>
      <x:c r="L6" s="30" t="n">
        <x:f>K6-F6</x:f>
        <x:v>6160</x:v>
      </x:c>
    </x:row>
    <x:row r="7" ht="26.399999618530273" hidden="0" customHeight="1">
      <x:c r="A7" s="28" t="str">
        <x:v>B005</x:v>
      </x:c>
      <x:c r="B7" s="28" t="str">
        <x:v>Sarah James</x:v>
      </x:c>
      <x:c r="C7" s="28" t="str">
        <x:v>NAT</x:v>
      </x:c>
      <x:c r="D7" s="28" t="n">
        <x:v>2</x:v>
      </x:c>
      <x:c r="E7" s="28" t="n">
        <x:v>2</x:v>
      </x:c>
      <x:c r="F7" s="30" t="n">
        <x:v>9000</x:v>
      </x:c>
      <x:c r="G7" s="30" t="n">
        <x:f>VLOOKUP(C7,Packages!$A$3:$D$5,3,FALSE)</x:f>
        <x:v>7000</x:v>
      </x:c>
      <x:c r="H7" s="30" t="n">
        <x:f>VLOOKUP(C7,Packages!$A$3:$D$5,4,FALSE)</x:f>
        <x:v>3000</x:v>
      </x:c>
      <x:c r="I7" s="30" t="n">
        <x:f>(D7*G7)+(E7*H7)</x:f>
        <x:v>20000</x:v>
      </x:c>
      <x:c r="J7" s="30" t="n">
        <x:f>IF(D7+E7&gt;=5,I7*$N$2,0)</x:f>
        <x:v>0</x:v>
      </x:c>
      <x:c r="K7" s="30" t="n">
        <x:f>I7-J7</x:f>
        <x:v>20000</x:v>
      </x:c>
      <x:c r="L7" s="30" t="n">
        <x:f>K7-F7</x:f>
        <x:v>11000</x:v>
      </x:c>
    </x:row>
    <x:row r="8" ht="26.399999618530273" hidden="0" customHeight="1">
      <x:c r="A8" s="28" t="str">
        <x:v>B006</x:v>
      </x:c>
      <x:c r="B8" s="28" t="str">
        <x:v>Andre Morgan</x:v>
      </x:c>
      <x:c r="C8" s="28" t="str">
        <x:v>ADV</x:v>
      </x:c>
      <x:c r="D8" s="28" t="n">
        <x:v>1</x:v>
      </x:c>
      <x:c r="E8" s="28" t="n">
        <x:v>1</x:v>
      </x:c>
      <x:c r="F8" s="30" t="n">
        <x:v>6000</x:v>
      </x:c>
      <x:c r="G8" s="30" t="n">
        <x:f>VLOOKUP(C8,Packages!$A$3:$D$5,3,FALSE)</x:f>
        <x:v>7000</x:v>
      </x:c>
      <x:c r="H8" s="30" t="n">
        <x:f>VLOOKUP(C8,Packages!$A$3:$D$5,4,FALSE)</x:f>
        <x:v>4000</x:v>
      </x:c>
      <x:c r="I8" s="30" t="n">
        <x:f>(D8*G8)+(E8*H8)</x:f>
        <x:v>11000</x:v>
      </x:c>
      <x:c r="J8" s="30" t="n">
        <x:f>IF(D8+E8&gt;=5,I8*$N$2,0)</x:f>
        <x:v>0</x:v>
      </x:c>
      <x:c r="K8" s="30" t="n">
        <x:f>I8-J8</x:f>
        <x:v>11000</x:v>
      </x:c>
      <x:c r="L8" s="30" t="n">
        <x:f>K8-F8</x:f>
        <x:v>5000</x:v>
      </x:c>
    </x:row>
    <x:row r="9" ht="26.399999618530273" hidden="0" customHeight="1">
      <x:c r="A9" s="28" t="str">
        <x:v>B007</x:v>
      </x:c>
      <x:c r="B9" s="28" t="str">
        <x:v>Janelle Brown</x:v>
      </x:c>
      <x:c r="C9" s="28" t="str">
        <x:v>CUL</x:v>
      </x:c>
      <x:c r="D9" s="28" t="n">
        <x:v>5</x:v>
      </x:c>
      <x:c r="E9" s="28" t="n">
        <x:v>0</x:v>
      </x:c>
      <x:c r="F9" s="30" t="n">
        <x:v>10000</x:v>
      </x:c>
      <x:c r="G9" s="30" t="n">
        <x:f>VLOOKUP(C9,Packages!$A$3:$D$5,3,FALSE)</x:f>
        <x:v>6000</x:v>
      </x:c>
      <x:c r="H9" s="30" t="n">
        <x:f>VLOOKUP(C9,Packages!$A$3:$D$5,4,FALSE)</x:f>
        <x:v>2500</x:v>
      </x:c>
      <x:c r="I9" s="30" t="n">
        <x:f>(D9*G9)+(E9*H9)</x:f>
        <x:v>30000</x:v>
      </x:c>
      <x:c r="J9" s="30" t="n">
        <x:f>IF(D9+E9&gt;=5,I9*$N$2,0)</x:f>
        <x:v>2400</x:v>
      </x:c>
      <x:c r="K9" s="30" t="n">
        <x:f>I9-J9</x:f>
        <x:v>27600</x:v>
      </x:c>
      <x:c r="L9" s="30" t="n">
        <x:f>K9-F9</x:f>
        <x:v>17600</x:v>
      </x:c>
    </x:row>
    <x:row r="10" ht="15" hidden="0" customHeight="1">
      <x:c r="A10" s="28" t="str">
        <x:v>B008</x:v>
      </x:c>
      <x:c r="B10" s="28" t="str">
        <x:v>Omar Reid</x:v>
      </x:c>
      <x:c r="C10" s="28" t="str">
        <x:v>NAT</x:v>
      </x:c>
      <x:c r="D10" s="28" t="n">
        <x:v>2</x:v>
      </x:c>
      <x:c r="E10" s="28" t="n">
        <x:v>3</x:v>
      </x:c>
      <x:c r="F10" s="30" t="n">
        <x:v>12000</x:v>
      </x:c>
      <x:c r="G10" s="30" t="n">
        <x:f>VLOOKUP(C10,Packages!$A$3:$D$5,3,FALSE)</x:f>
        <x:v>7000</x:v>
      </x:c>
      <x:c r="H10" s="30" t="n">
        <x:f>VLOOKUP(C10,Packages!$A$3:$D$5,4,FALSE)</x:f>
        <x:v>3000</x:v>
      </x:c>
      <x:c r="I10" s="30" t="n">
        <x:f>(D10*G10)+(E10*H10)</x:f>
        <x:v>23000</x:v>
      </x:c>
      <x:c r="J10" s="30" t="n">
        <x:f>IF(D10+E10&gt;=5,I10*$N$2,0)</x:f>
        <x:v>1840</x:v>
      </x:c>
      <x:c r="K10" s="30" t="n">
        <x:f>I10-J10</x:f>
        <x:v>21160</x:v>
      </x:c>
      <x:c r="L10" s="30" t="n">
        <x:f>K10-F10</x:f>
        <x:v>9160</x:v>
      </x:c>
    </x:row>
    <x:row r="11" ht="26.399999618530273" hidden="0" customHeight="1">
      <x:c r="A11" s="28" t="str">
        <x:v>B009</x:v>
      </x:c>
      <x:c r="B11" s="28" t="str">
        <x:v>Keisha Grant</x:v>
      </x:c>
      <x:c r="C11" s="28" t="str">
        <x:v>ADV</x:v>
      </x:c>
      <x:c r="D11" s="28" t="n">
        <x:v>3</x:v>
      </x:c>
      <x:c r="E11" s="28" t="n">
        <x:v>1</x:v>
      </x:c>
      <x:c r="F11" s="30" t="n">
        <x:v>14000</x:v>
      </x:c>
      <x:c r="G11" s="30" t="n">
        <x:f>VLOOKUP(C11,Packages!$A$3:$D$5,3,FALSE)</x:f>
        <x:v>7000</x:v>
      </x:c>
      <x:c r="H11" s="30" t="n">
        <x:f>VLOOKUP(C11,Packages!$A$3:$D$5,4,FALSE)</x:f>
        <x:v>4000</x:v>
      </x:c>
      <x:c r="I11" s="30" t="n">
        <x:f>(D11*G11)+(E11*H11)</x:f>
        <x:v>25000</x:v>
      </x:c>
      <x:c r="J11" s="30" t="n">
        <x:f>IF(D11+E11&gt;=5,I11*$N$2,0)</x:f>
        <x:v>0</x:v>
      </x:c>
      <x:c r="K11" s="30" t="n">
        <x:f>I11-J11</x:f>
        <x:v>25000</x:v>
      </x:c>
      <x:c r="L11" s="30" t="n">
        <x:f>K11-F11</x:f>
        <x:v>11000</x:v>
      </x:c>
    </x:row>
    <x:row r="12" ht="15" hidden="0" customHeight="1">
      <x:c r="A12" s="28" t="str">
        <x:v>B010</x:v>
      </x:c>
      <x:c r="B12" s="28" t="str">
        <x:v>Dario Hall</x:v>
      </x:c>
      <x:c r="C12" s="28" t="str">
        <x:v>CUL</x:v>
      </x:c>
      <x:c r="D12" s="28" t="n">
        <x:v>1</x:v>
      </x:c>
      <x:c r="E12" s="28" t="n">
        <x:v>2</x:v>
      </x:c>
      <x:c r="F12" s="30" t="n">
        <x:v>5000</x:v>
      </x:c>
      <x:c r="G12" s="30" t="n">
        <x:f>VLOOKUP(C12,Packages!$A$3:$D$5,3,FALSE)</x:f>
        <x:v>6000</x:v>
      </x:c>
      <x:c r="H12" s="30" t="n">
        <x:f>VLOOKUP(C12,Packages!$A$3:$D$5,4,FALSE)</x:f>
        <x:v>2500</x:v>
      </x:c>
      <x:c r="I12" s="30" t="n">
        <x:f>(D12*G12)+(E12*H12)</x:f>
        <x:v>11000</x:v>
      </x:c>
      <x:c r="J12" s="30" t="n">
        <x:f>IF(D12+E12&gt;=5,I12*$N$2,0)</x:f>
        <x:v>0</x:v>
      </x:c>
      <x:c r="K12" s="30" t="n">
        <x:f>I12-J12</x:f>
        <x:v>11000</x:v>
      </x:c>
      <x:c r="L12" s="30" t="n">
        <x:f>K12-F12</x:f>
        <x:v>6000</x:v>
      </x:c>
    </x:row>
    <x:row r="13" ht="26.399999618530273" hidden="0" customHeight="1">
      <x:c r="A13" s="28" t="str">
        <x:v>B011</x:v>
      </x:c>
      <x:c r="B13" s="28" t="str">
        <x:v>Renee Blake</x:v>
      </x:c>
      <x:c r="C13" s="28" t="str">
        <x:v>NAT</x:v>
      </x:c>
      <x:c r="D13" s="28" t="n">
        <x:v>4</x:v>
      </x:c>
      <x:c r="E13" s="28" t="n">
        <x:v>2</x:v>
      </x:c>
      <x:c r="F13" s="30" t="n">
        <x:v>16000</x:v>
      </x:c>
      <x:c r="G13" s="30" t="n">
        <x:f>VLOOKUP(C13,Packages!$A$3:$D$5,3,FALSE)</x:f>
        <x:v>7000</x:v>
      </x:c>
      <x:c r="H13" s="30" t="n">
        <x:f>VLOOKUP(C13,Packages!$A$3:$D$5,4,FALSE)</x:f>
        <x:v>3000</x:v>
      </x:c>
      <x:c r="I13" s="30" t="n">
        <x:f>(D13*G13)+(E13*H13)</x:f>
        <x:v>34000</x:v>
      </x:c>
      <x:c r="J13" s="30" t="n">
        <x:f>IF(D13+E13&gt;=5,I13*$N$2,0)</x:f>
        <x:v>2720</x:v>
      </x:c>
      <x:c r="K13" s="30" t="n">
        <x:f>I13-J13</x:f>
        <x:v>31280</x:v>
      </x:c>
      <x:c r="L13" s="30" t="n">
        <x:f>K13-F13</x:f>
        <x:v>15280</x:v>
      </x:c>
    </x:row>
    <x:row r="14" ht="26.399999618530273" hidden="0" customHeight="1">
      <x:c r="A14" s="28" t="str">
        <x:v>B012</x:v>
      </x:c>
      <x:c r="B14" s="28" t="str">
        <x:v>Malik White</x:v>
      </x:c>
      <x:c r="C14" s="28" t="str">
        <x:v>ADV</x:v>
      </x:c>
      <x:c r="D14" s="28" t="n">
        <x:v>2</x:v>
      </x:c>
      <x:c r="E14" s="28" t="n">
        <x:v>0</x:v>
      </x:c>
      <x:c r="F14" s="30" t="n">
        <x:v>8000</x:v>
      </x:c>
      <x:c r="G14" s="30" t="n">
        <x:f>VLOOKUP(C14,Packages!$A$3:$D$5,3,FALSE)</x:f>
        <x:v>7000</x:v>
      </x:c>
      <x:c r="H14" s="30" t="n">
        <x:f>VLOOKUP(C14,Packages!$A$3:$D$5,4,FALSE)</x:f>
        <x:v>4000</x:v>
      </x:c>
      <x:c r="I14" s="30" t="n">
        <x:f>(D14*G14)+(E14*H14)</x:f>
        <x:v>14000</x:v>
      </x:c>
      <x:c r="J14" s="30" t="n">
        <x:f>IF(D14+E14&gt;=5,I14*$N$2,0)</x:f>
        <x:v>0</x:v>
      </x:c>
      <x:c r="K14" s="30" t="n">
        <x:f>I14-J14</x:f>
        <x:v>14000</x:v>
      </x:c>
      <x:c r="L14" s="30" t="n">
        <x:f>K14-F14</x:f>
        <x:v>6000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4" t="str">
        <x:v>SPARK REFERENCE - DO NOT SUBMIT | BlueWave Island Tours Summary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Key measure</x:v>
      </x:c>
      <x:c r="B3" s="11" t="str">
        <x:v>Result</x:v>
      </x:c>
    </x:row>
    <x:row r="4">
      <x:c r="A4" s="36" t="str">
        <x:v>Total booking value</x:v>
      </x:c>
      <x:c r="B4" s="37" t="n">
        <x:f>SUM(Bookings!K3:K14)</x:f>
        <x:v>236820</x:v>
      </x:c>
    </x:row>
    <x:row r="5">
      <x:c r="A5" s="36" t="str">
        <x:v>Total outstanding</x:v>
      </x:c>
      <x:c r="B5" s="37" t="n">
        <x:f>SUM(Bookings!L3:L14)</x:f>
        <x:v>120820</x:v>
      </x:c>
    </x:row>
    <x:row r="6">
      <x:c r="A6" s="36" t="str">
        <x:v>Average booking</x:v>
      </x:c>
      <x:c r="B6" s="37" t="n">
        <x:f>AVERAGE(Bookings!K3:K14)</x:f>
        <x:v>19735</x:v>
      </x:c>
    </x:row>
    <x:row r="7">
      <x:c r="A7" s="36" t="str">
        <x:v>Large groups</x:v>
      </x:c>
      <x:c r="B7" s="39" t="n">
        <x:f>COUNTIF(Bookings!D3:D14,"&gt;=4")</x:f>
        <x:v>3</x:v>
      </x:c>
    </x:row>
    <x:row r="10">
      <x:c r="A10" s="21" t="str">
        <x:v>Category / Code</x:v>
      </x:c>
      <x:c r="B10" s="21" t="str">
        <x:v>Value</x:v>
      </x:c>
    </x:row>
    <x:row r="11">
      <x:c r="A11" s="36" t="str">
        <x:v>CUL</x:v>
      </x:c>
      <x:c r="B11" s="37" t="n">
        <x:f>SUMIF(Bookings!$C$3:$C$14,A11,Bookings!$K$3:$K$14)</x:f>
        <x:v>74260</x:v>
      </x:c>
    </x:row>
    <x:row r="12">
      <x:c r="A12" s="36" t="str">
        <x:v>ADV</x:v>
      </x:c>
      <x:c r="B12" s="37" t="n">
        <x:f>SUMIF(Bookings!$C$3:$C$14,A12,Bookings!$K$3:$K$14)</x:f>
        <x:v>83120</x:v>
      </x:c>
    </x:row>
    <x:row r="13">
      <x:c r="A13" s="36" t="str">
        <x:v>NAT</x:v>
      </x:c>
      <x:c r="B13" s="37" t="n">
        <x:f>SUMIF(Bookings!$C$3:$C$14,A13,Bookings!$K$3:$K$14)</x:f>
        <x:v>79440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35e0a5df7134f02"/>
</x:worksheet>
</file>

<file path=xl/worksheets/sheet3.xml><?xml version="1.0" encoding="utf-8"?>
<x:worksheet xmlns:x="http://schemas.openxmlformats.org/spreadsheetml/2006/main">
  <x:sheetFormatPr defaultRowHeight="15"/>
  <x:cols>
    <x:col min="1" max="1" width="63.630001068115234" hidden="0" customWidth="1"/>
    <x:col min="2" max="2" width="14.5" hidden="0" customWidth="1"/>
    <x:col min="3" max="3" width="8.130000114440918" hidden="0" customWidth="1"/>
    <x:col min="4" max="4" width="7.880000114440918" hidden="0" customWidth="1"/>
  </x:cols>
  <x:sheetData>
    <x:row r="1">
      <x:c r="A1" s="33" t="str">
        <x:v>SPARK REFERENCE - DO NOT SUBMIT | BlueWave Island Tours Lookups</x:v>
      </x:c>
      <x:c r="B1" s="33"/>
      <x:c r="C1" s="33"/>
      <x:c r="D1" s="33"/>
    </x:row>
    <x:row r="2">
      <x:c r="A2" s="11" t="str">
        <x:v>PackageCode</x:v>
      </x:c>
      <x:c r="B2" s="11" t="str">
        <x:v>PackageName</x:v>
      </x:c>
      <x:c r="C2" s="11" t="str">
        <x:v>AdultRate</x:v>
      </x:c>
      <x:c r="D2" s="11" t="str">
        <x:v>ChildRate</x:v>
      </x:c>
    </x:row>
    <x:row r="3">
      <x:c r="A3" s="36" t="str">
        <x:v>CUL</x:v>
      </x:c>
      <x:c r="B3" s="36" t="str">
        <x:v>Culture &amp; Heritage</x:v>
      </x:c>
      <x:c r="C3" s="36" t="n">
        <x:v>6000</x:v>
      </x:c>
      <x:c r="D3" s="36" t="n">
        <x:v>2500</x:v>
      </x:c>
    </x:row>
    <x:row r="4">
      <x:c r="A4" s="36" t="str">
        <x:v>ADV</x:v>
      </x:c>
      <x:c r="B4" s="36" t="str">
        <x:v>Adventure</x:v>
      </x:c>
      <x:c r="C4" s="36" t="n">
        <x:v>7000</x:v>
      </x:c>
      <x:c r="D4" s="36" t="n">
        <x:v>4000</x:v>
      </x:c>
    </x:row>
    <x:row r="5">
      <x:c r="A5" s="36" t="str">
        <x:v>NAT</x:v>
      </x:c>
      <x:c r="B5" s="36" t="str">
        <x:v>Nature Escape</x:v>
      </x:c>
      <x:c r="C5" s="36" t="n">
        <x:v>7000</x:v>
      </x:c>
      <x:c r="D5" s="36" t="n">
        <x:v>3000</x:v>
      </x:c>
    </x:row>
  </x:sheetData>
  <x:mergeCells>
    <x:mergeCell ref="A1:D1"/>
  </x:mergeCells>
  <x:pageMargins left="0.7" right="0.7" top="0.75" bottom="0.75" header="0.3" footer="0.3"/>
</x:worksheet>
</file>