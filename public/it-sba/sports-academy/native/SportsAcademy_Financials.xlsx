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4b27f653804b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mbers" sheetId="1" r:id="R64c8d9b06df24fc7"/>
    <x:sheet xmlns:r="http://schemas.openxmlformats.org/officeDocument/2006/relationships" name="Summary" sheetId="2" r:id="Rdc932b610d9f44bf"/>
    <x:sheet xmlns:r="http://schemas.openxmlformats.org/officeDocument/2006/relationships" name="Programmes" sheetId="3" r:id="R349467df9d0e49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$#,##0.00"/>
    <x:numFmt numFmtId="202" formatCode="0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17375E"/>
      <x:name val="Carlito"/>
    </x:font>
    <x:font>
      <x:i/>
      <x:sz val="11"/>
      <x:color rgb="FF64748B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75E"/>
      </x:patternFill>
    </x:fill>
    <x:fill>
      <x:patternFill patternType="solid">
        <x:fgColor rgb="FF0D8069"/>
      </x:patternFill>
    </x:fill>
    <x:fill>
      <x:patternFill patternType="solid">
        <x:fgColor rgb="FFEEF3F8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12469977a04894" /><Relationship Type="http://schemas.openxmlformats.org/officeDocument/2006/relationships/theme" Target="/xl/theme/theme1.xml" Id="R18e3478ab8a44a94" /><Relationship Type="http://schemas.openxmlformats.org/officeDocument/2006/relationships/sharedStrings" Target="/xl/sharedStrings.xml" Id="Rafda06f11b9a4eeb" /><Relationship Type="http://schemas.openxmlformats.org/officeDocument/2006/relationships/worksheet" Target="/xl/worksheets/sheet1.xml" Id="R64c8d9b06df24fc7" /><Relationship Type="http://schemas.openxmlformats.org/officeDocument/2006/relationships/worksheet" Target="/xl/worksheets/sheet2.xml" Id="Rdc932b610d9f44bf" /><Relationship Type="http://schemas.openxmlformats.org/officeDocument/2006/relationships/worksheet" Target="/xl/worksheets/sheet3.xml" Id="R349467df9d0e49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37b5cc1966e40e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Outstanding Balance by Programme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'Summary'!$A$11:$A$14</c:f>
              <c:strCache>
                <c:ptCount val="0"/>
              </c:strCache>
            </c:strRef>
          </c:cat>
          <c:val>
            <c:numRef>
              <c:f>'Summary'!$B$11:$B$14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7b5cc1966e40e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b103c06b4b14ebb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7" hidden="0" customWidth="1"/>
    <x:col min="3" max="3" width="17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8" customHeight="1">
      <x:c r="A1" s="5" t="str">
        <x:v>SPARK REFERENCE - DO NOT SUBMIT | SPARK Sports Academy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N1" s="21" t="str">
        <x:v>Reference rate</x:v>
      </x:c>
    </x:row>
    <x:row r="2" ht="26.399999618530273" hidden="0" customHeight="1">
      <x:c r="A2" s="14" t="str">
        <x:v>AthleteID</x:v>
      </x:c>
      <x:c r="B2" s="14" t="str">
        <x:v>FirstName</x:v>
      </x:c>
      <x:c r="C2" s="14" t="str">
        <x:v>LastName</x:v>
      </x:c>
      <x:c r="D2" s="14" t="str">
        <x:v>Age</x:v>
      </x:c>
      <x:c r="E2" s="14" t="str">
        <x:v>ProgrammeCode</x:v>
      </x:c>
      <x:c r="F2" s="14" t="str">
        <x:v>MonthlyFee</x:v>
      </x:c>
      <x:c r="G2" s="14" t="str">
        <x:v>AmountPaid</x:v>
      </x:c>
      <x:c r="H2" s="14" t="str">
        <x:v>Status</x:v>
      </x:c>
      <x:c r="I2" s="14" t="str">
        <x:v>TermFee</x:v>
      </x:c>
      <x:c r="J2" s="14" t="str">
        <x:v>Discount</x:v>
      </x:c>
      <x:c r="K2" s="14" t="str">
        <x:v>FinalFee</x:v>
      </x:c>
      <x:c r="L2" s="14" t="str">
        <x:v>Balance</x:v>
      </x:c>
      <x:c r="N2" s="24" t="n">
        <x:v>0.1</x:v>
      </x:c>
    </x:row>
    <x:row r="3" ht="15" hidden="0" customHeight="1">
      <x:c r="A3" s="28" t="str">
        <x:v>A001</x:v>
      </x:c>
      <x:c r="B3" s="28" t="str">
        <x:v>Alicia</x:v>
      </x:c>
      <x:c r="C3" s="28" t="str">
        <x:v>Brown</x:v>
      </x:c>
      <x:c r="D3" s="28" t="n">
        <x:v>12</x:v>
      </x:c>
      <x:c r="E3" s="28" t="str">
        <x:v>SWM</x:v>
      </x:c>
      <x:c r="F3" s="30" t="n">
        <x:v>9000</x:v>
      </x:c>
      <x:c r="G3" s="30" t="n">
        <x:v>12000</x:v>
      </x:c>
      <x:c r="H3" s="28" t="str">
        <x:v>Active</x:v>
      </x:c>
      <x:c r="I3" s="30" t="n">
        <x:f>F3*3</x:f>
        <x:v>27000</x:v>
      </x:c>
      <x:c r="J3" s="30" t="n">
        <x:f>IF(D3&lt;13,I3*$N$2,0)</x:f>
        <x:v>2700</x:v>
      </x:c>
      <x:c r="K3" s="30" t="n">
        <x:f>I3-J3</x:f>
        <x:v>24300</x:v>
      </x:c>
      <x:c r="L3" s="30" t="n">
        <x:f>K3-G3</x:f>
        <x:v>12300</x:v>
      </x:c>
      <x:c r="N3" s="26" t="str">
        <x:v>Junior discount</x:v>
      </x:c>
    </x:row>
    <x:row r="4" ht="15" hidden="0" customHeight="1">
      <x:c r="A4" s="28" t="str">
        <x:v>A002</x:v>
      </x:c>
      <x:c r="B4" s="28" t="str">
        <x:v>Dario</x:v>
      </x:c>
      <x:c r="C4" s="28" t="str">
        <x:v>King</x:v>
      </x:c>
      <x:c r="D4" s="28" t="n">
        <x:v>15</x:v>
      </x:c>
      <x:c r="E4" s="28" t="str">
        <x:v>FTB</x:v>
      </x:c>
      <x:c r="F4" s="30" t="n">
        <x:v>7500</x:v>
      </x:c>
      <x:c r="G4" s="30" t="n">
        <x:v>15000</x:v>
      </x:c>
      <x:c r="H4" s="28" t="str">
        <x:v>Active</x:v>
      </x:c>
      <x:c r="I4" s="30" t="n">
        <x:f>F4*3</x:f>
        <x:v>22500</x:v>
      </x:c>
      <x:c r="J4" s="30" t="n">
        <x:f>IF(D4&lt;13,I4*$N$2,0)</x:f>
        <x:v>0</x:v>
      </x:c>
      <x:c r="K4" s="30" t="n">
        <x:f>I4-J4</x:f>
        <x:v>22500</x:v>
      </x:c>
      <x:c r="L4" s="30" t="n">
        <x:f>K4-G4</x:f>
        <x:v>7500</x:v>
      </x:c>
    </x:row>
    <x:row r="5" ht="15" hidden="0" customHeight="1">
      <x:c r="A5" s="28" t="str">
        <x:v>A003</x:v>
      </x:c>
      <x:c r="B5" s="28" t="str">
        <x:v>Renee</x:v>
      </x:c>
      <x:c r="C5" s="28" t="str">
        <x:v>Blake</x:v>
      </x:c>
      <x:c r="D5" s="28" t="n">
        <x:v>11</x:v>
      </x:c>
      <x:c r="E5" s="28" t="str">
        <x:v>NET</x:v>
      </x:c>
      <x:c r="F5" s="30" t="n">
        <x:v>7000</x:v>
      </x:c>
      <x:c r="G5" s="30" t="n">
        <x:v>8000</x:v>
      </x:c>
      <x:c r="H5" s="28" t="str">
        <x:v>Active</x:v>
      </x:c>
      <x:c r="I5" s="30" t="n">
        <x:f>F5*3</x:f>
        <x:v>21000</x:v>
      </x:c>
      <x:c r="J5" s="30" t="n">
        <x:f>IF(D5&lt;13,I5*$N$2,0)</x:f>
        <x:v>2100</x:v>
      </x:c>
      <x:c r="K5" s="30" t="n">
        <x:f>I5-J5</x:f>
        <x:v>18900</x:v>
      </x:c>
      <x:c r="L5" s="30" t="n">
        <x:f>K5-G5</x:f>
        <x:v>10900</x:v>
      </x:c>
    </x:row>
    <x:row r="6" ht="15" hidden="0" customHeight="1">
      <x:c r="A6" s="28" t="str">
        <x:v>A004</x:v>
      </x:c>
      <x:c r="B6" s="28" t="str">
        <x:v>Malik</x:v>
      </x:c>
      <x:c r="C6" s="28" t="str">
        <x:v>Grant</x:v>
      </x:c>
      <x:c r="D6" s="28" t="n">
        <x:v>14</x:v>
      </x:c>
      <x:c r="E6" s="28" t="str">
        <x:v>ATH</x:v>
      </x:c>
      <x:c r="F6" s="30" t="n">
        <x:v>8000</x:v>
      </x:c>
      <x:c r="G6" s="30" t="n">
        <x:v>10000</x:v>
      </x:c>
      <x:c r="H6" s="28" t="str">
        <x:v>Active</x:v>
      </x:c>
      <x:c r="I6" s="30" t="n">
        <x:f>F6*3</x:f>
        <x:v>24000</x:v>
      </x:c>
      <x:c r="J6" s="30" t="n">
        <x:f>IF(D6&lt;13,I6*$N$2,0)</x:f>
        <x:v>0</x:v>
      </x:c>
      <x:c r="K6" s="30" t="n">
        <x:f>I6-J6</x:f>
        <x:v>24000</x:v>
      </x:c>
      <x:c r="L6" s="30" t="n">
        <x:f>K6-G6</x:f>
        <x:v>14000</x:v>
      </x:c>
    </x:row>
    <x:row r="7" ht="15" hidden="0" customHeight="1">
      <x:c r="A7" s="28" t="str">
        <x:v>A005</x:v>
      </x:c>
      <x:c r="B7" s="28" t="str">
        <x:v>Jada</x:v>
      </x:c>
      <x:c r="C7" s="28" t="str">
        <x:v>Campbell</x:v>
      </x:c>
      <x:c r="D7" s="28" t="n">
        <x:v>13</x:v>
      </x:c>
      <x:c r="E7" s="28" t="str">
        <x:v>SWM</x:v>
      </x:c>
      <x:c r="F7" s="30" t="n">
        <x:v>9000</x:v>
      </x:c>
      <x:c r="G7" s="30" t="n">
        <x:v>22000</x:v>
      </x:c>
      <x:c r="H7" s="28" t="str">
        <x:v>Active</x:v>
      </x:c>
      <x:c r="I7" s="30" t="n">
        <x:f>F7*3</x:f>
        <x:v>27000</x:v>
      </x:c>
      <x:c r="J7" s="30" t="n">
        <x:f>IF(D7&lt;13,I7*$N$2,0)</x:f>
        <x:v>0</x:v>
      </x:c>
      <x:c r="K7" s="30" t="n">
        <x:f>I7-J7</x:f>
        <x:v>27000</x:v>
      </x:c>
      <x:c r="L7" s="30" t="n">
        <x:f>K7-G7</x:f>
        <x:v>5000</x:v>
      </x:c>
    </x:row>
    <x:row r="8" ht="15" hidden="0" customHeight="1">
      <x:c r="A8" s="28" t="str">
        <x:v>A006</x:v>
      </x:c>
      <x:c r="B8" s="28" t="str">
        <x:v>Andre</x:v>
      </x:c>
      <x:c r="C8" s="28" t="str">
        <x:v>Lewis</x:v>
      </x:c>
      <x:c r="D8" s="28" t="n">
        <x:v>10</x:v>
      </x:c>
      <x:c r="E8" s="28" t="str">
        <x:v>FTB</x:v>
      </x:c>
      <x:c r="F8" s="30" t="n">
        <x:v>7500</x:v>
      </x:c>
      <x:c r="G8" s="30" t="n">
        <x:v>6000</x:v>
      </x:c>
      <x:c r="H8" s="28" t="str">
        <x:v>Active</x:v>
      </x:c>
      <x:c r="I8" s="30" t="n">
        <x:f>F8*3</x:f>
        <x:v>22500</x:v>
      </x:c>
      <x:c r="J8" s="30" t="n">
        <x:f>IF(D8&lt;13,I8*$N$2,0)</x:f>
        <x:v>2250</x:v>
      </x:c>
      <x:c r="K8" s="30" t="n">
        <x:f>I8-J8</x:f>
        <x:v>20250</x:v>
      </x:c>
      <x:c r="L8" s="30" t="n">
        <x:f>K8-G8</x:f>
        <x:v>14250</x:v>
      </x:c>
    </x:row>
    <x:row r="9" ht="15" hidden="0" customHeight="1">
      <x:c r="A9" s="28" t="str">
        <x:v>A007</x:v>
      </x:c>
      <x:c r="B9" s="28" t="str">
        <x:v>Tariq</x:v>
      </x:c>
      <x:c r="C9" s="28" t="str">
        <x:v>Henry</x:v>
      </x:c>
      <x:c r="D9" s="28" t="n">
        <x:v>16</x:v>
      </x:c>
      <x:c r="E9" s="28" t="str">
        <x:v>ATH</x:v>
      </x:c>
      <x:c r="F9" s="30" t="n">
        <x:v>8000</x:v>
      </x:c>
      <x:c r="G9" s="30" t="n">
        <x:v>24000</x:v>
      </x:c>
      <x:c r="H9" s="28" t="str">
        <x:v>Active</x:v>
      </x:c>
      <x:c r="I9" s="30" t="n">
        <x:f>F9*3</x:f>
        <x:v>24000</x:v>
      </x:c>
      <x:c r="J9" s="30" t="n">
        <x:f>IF(D9&lt;13,I9*$N$2,0)</x:f>
        <x:v>0</x:v>
      </x:c>
      <x:c r="K9" s="30" t="n">
        <x:f>I9-J9</x:f>
        <x:v>24000</x:v>
      </x:c>
      <x:c r="L9" s="30" t="n">
        <x:f>K9-G9</x:f>
        <x:v>0</x:v>
      </x:c>
    </x:row>
    <x:row r="10" ht="15" hidden="0" customHeight="1">
      <x:c r="A10" s="28" t="str">
        <x:v>A008</x:v>
      </x:c>
      <x:c r="B10" s="28" t="str">
        <x:v>Nia</x:v>
      </x:c>
      <x:c r="C10" s="28" t="str">
        <x:v>Morgan</x:v>
      </x:c>
      <x:c r="D10" s="28" t="n">
        <x:v>9</x:v>
      </x:c>
      <x:c r="E10" s="28" t="str">
        <x:v>NET</x:v>
      </x:c>
      <x:c r="F10" s="30" t="n">
        <x:v>7000</x:v>
      </x:c>
      <x:c r="G10" s="30" t="n">
        <x:v>9000</x:v>
      </x:c>
      <x:c r="H10" s="28" t="str">
        <x:v>Active</x:v>
      </x:c>
      <x:c r="I10" s="30" t="n">
        <x:f>F10*3</x:f>
        <x:v>21000</x:v>
      </x:c>
      <x:c r="J10" s="30" t="n">
        <x:f>IF(D10&lt;13,I10*$N$2,0)</x:f>
        <x:v>2100</x:v>
      </x:c>
      <x:c r="K10" s="30" t="n">
        <x:f>I10-J10</x:f>
        <x:v>18900</x:v>
      </x:c>
      <x:c r="L10" s="30" t="n">
        <x:f>K10-G10</x:f>
        <x:v>9900</x:v>
      </x:c>
    </x:row>
    <x:row r="11" ht="15" hidden="0" customHeight="1">
      <x:c r="A11" s="28" t="str">
        <x:v>A009</x:v>
      </x:c>
      <x:c r="B11" s="28" t="str">
        <x:v>Omar</x:v>
      </x:c>
      <x:c r="C11" s="28" t="str">
        <x:v>Reid</x:v>
      </x:c>
      <x:c r="D11" s="28" t="n">
        <x:v>12</x:v>
      </x:c>
      <x:c r="E11" s="28" t="str">
        <x:v>SWM</x:v>
      </x:c>
      <x:c r="F11" s="30" t="n">
        <x:v>9000</x:v>
      </x:c>
      <x:c r="G11" s="30" t="n">
        <x:v>16000</x:v>
      </x:c>
      <x:c r="H11" s="28" t="str">
        <x:v>Inactive</x:v>
      </x:c>
      <x:c r="I11" s="30" t="n">
        <x:f>F11*3</x:f>
        <x:v>27000</x:v>
      </x:c>
      <x:c r="J11" s="30" t="n">
        <x:f>IF(D11&lt;13,I11*$N$2,0)</x:f>
        <x:v>2700</x:v>
      </x:c>
      <x:c r="K11" s="30" t="n">
        <x:f>I11-J11</x:f>
        <x:v>24300</x:v>
      </x:c>
      <x:c r="L11" s="30" t="n">
        <x:f>K11-G11</x:f>
        <x:v>8300</x:v>
      </x:c>
    </x:row>
    <x:row r="12" ht="15" hidden="0" customHeight="1">
      <x:c r="A12" s="28" t="str">
        <x:v>A010</x:v>
      </x:c>
      <x:c r="B12" s="28" t="str">
        <x:v>Kiara</x:v>
      </x:c>
      <x:c r="C12" s="28" t="str">
        <x:v>James</x:v>
      </x:c>
      <x:c r="D12" s="28" t="n">
        <x:v>14</x:v>
      </x:c>
      <x:c r="E12" s="28" t="str">
        <x:v>FTB</x:v>
      </x:c>
      <x:c r="F12" s="30" t="n">
        <x:v>7500</x:v>
      </x:c>
      <x:c r="G12" s="30" t="n">
        <x:v>18000</x:v>
      </x:c>
      <x:c r="H12" s="28" t="str">
        <x:v>Active</x:v>
      </x:c>
      <x:c r="I12" s="30" t="n">
        <x:f>F12*3</x:f>
        <x:v>22500</x:v>
      </x:c>
      <x:c r="J12" s="30" t="n">
        <x:f>IF(D12&lt;13,I12*$N$2,0)</x:f>
        <x:v>0</x:v>
      </x:c>
      <x:c r="K12" s="30" t="n">
        <x:f>I12-J12</x:f>
        <x:v>22500</x:v>
      </x:c>
      <x:c r="L12" s="30" t="n">
        <x:f>K12-G12</x:f>
        <x:v>4500</x:v>
      </x:c>
    </x:row>
    <x:row r="13" ht="15" hidden="0" customHeight="1">
      <x:c r="A13" s="28" t="str">
        <x:v>A011</x:v>
      </x:c>
      <x:c r="B13" s="28" t="str">
        <x:v>Devon</x:v>
      </x:c>
      <x:c r="C13" s="28" t="str">
        <x:v>White</x:v>
      </x:c>
      <x:c r="D13" s="28" t="n">
        <x:v>11</x:v>
      </x:c>
      <x:c r="E13" s="28" t="str">
        <x:v>ATH</x:v>
      </x:c>
      <x:c r="F13" s="30" t="n">
        <x:v>8000</x:v>
      </x:c>
      <x:c r="G13" s="30" t="n">
        <x:v>11000</x:v>
      </x:c>
      <x:c r="H13" s="28" t="str">
        <x:v>Active</x:v>
      </x:c>
      <x:c r="I13" s="30" t="n">
        <x:f>F13*3</x:f>
        <x:v>24000</x:v>
      </x:c>
      <x:c r="J13" s="30" t="n">
        <x:f>IF(D13&lt;13,I13*$N$2,0)</x:f>
        <x:v>2400</x:v>
      </x:c>
      <x:c r="K13" s="30" t="n">
        <x:f>I13-J13</x:f>
        <x:v>21600</x:v>
      </x:c>
      <x:c r="L13" s="30" t="n">
        <x:f>K13-G13</x:f>
        <x:v>10600</x:v>
      </x:c>
    </x:row>
    <x:row r="14" ht="15" hidden="0" customHeight="1">
      <x:c r="A14" s="28" t="str">
        <x:v>A012</x:v>
      </x:c>
      <x:c r="B14" s="28" t="str">
        <x:v>Shanice</x:v>
      </x:c>
      <x:c r="C14" s="28" t="str">
        <x:v>Cole</x:v>
      </x:c>
      <x:c r="D14" s="28" t="n">
        <x:v>15</x:v>
      </x:c>
      <x:c r="E14" s="28" t="str">
        <x:v>NET</x:v>
      </x:c>
      <x:c r="F14" s="30" t="n">
        <x:v>7000</x:v>
      </x:c>
      <x:c r="G14" s="30" t="n">
        <x:v>21000</x:v>
      </x:c>
      <x:c r="H14" s="28" t="str">
        <x:v>Active</x:v>
      </x:c>
      <x:c r="I14" s="30" t="n">
        <x:f>F14*3</x:f>
        <x:v>21000</x:v>
      </x:c>
      <x:c r="J14" s="30" t="n">
        <x:f>IF(D14&lt;13,I14*$N$2,0)</x:f>
        <x:v>0</x:v>
      </x:c>
      <x:c r="K14" s="30" t="n">
        <x:f>I14-J14</x:f>
        <x:v>21000</x:v>
      </x:c>
      <x:c r="L14" s="30" t="n">
        <x:f>K14-G14</x:f>
        <x:v>0</x:v>
      </x:c>
    </x:row>
  </x:sheetData>
  <x:mergeCells>
    <x:mergeCell ref="A1:L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</x:cols>
  <x:sheetData>
    <x:row r="1" ht="28" customHeight="1">
      <x:c r="A1" s="4" t="str">
        <x:v>SPARK REFERENCE - DO NOT SUBMIT | SPARK Sports Academy Summary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Key measure</x:v>
      </x:c>
      <x:c r="B3" s="11" t="str">
        <x:v>Result</x:v>
      </x:c>
    </x:row>
    <x:row r="4">
      <x:c r="A4" s="36" t="str">
        <x:v>Total final fees</x:v>
      </x:c>
      <x:c r="B4" s="37" t="n">
        <x:f>SUM(Members!K3:K14)</x:f>
        <x:v>269250</x:v>
      </x:c>
    </x:row>
    <x:row r="5">
      <x:c r="A5" s="36" t="str">
        <x:v>Total outstanding balance</x:v>
      </x:c>
      <x:c r="B5" s="37" t="n">
        <x:f>SUM(Members!L3:L14)</x:f>
        <x:v>97250</x:v>
      </x:c>
    </x:row>
    <x:row r="6">
      <x:c r="A6" s="36" t="str">
        <x:v>Average final fee</x:v>
      </x:c>
      <x:c r="B6" s="37" t="n">
        <x:f>AVERAGE(Members!K3:K14)</x:f>
        <x:v>22437.5</x:v>
      </x:c>
    </x:row>
    <x:row r="7">
      <x:c r="A7" s="36" t="str">
        <x:v>Active athletes</x:v>
      </x:c>
      <x:c r="B7" s="39" t="n">
        <x:f>COUNTIF(Members!H3:H14,"Active")</x:f>
        <x:v>11</x:v>
      </x:c>
    </x:row>
    <x:row r="10">
      <x:c r="A10" s="21" t="str">
        <x:v>Category / Code</x:v>
      </x:c>
      <x:c r="B10" s="21" t="str">
        <x:v>Value</x:v>
      </x:c>
    </x:row>
    <x:row r="11">
      <x:c r="A11" s="36" t="str">
        <x:v>SWM</x:v>
      </x:c>
      <x:c r="B11" s="37" t="n">
        <x:f>SUMIF(Members!$E$3:$E$14,A11,Members!$L$3:$L$14)</x:f>
        <x:v>25600</x:v>
      </x:c>
    </x:row>
    <x:row r="12">
      <x:c r="A12" s="36" t="str">
        <x:v>FTB</x:v>
      </x:c>
      <x:c r="B12" s="37" t="n">
        <x:f>SUMIF(Members!$E$3:$E$14,A12,Members!$L$3:$L$14)</x:f>
        <x:v>26250</x:v>
      </x:c>
    </x:row>
    <x:row r="13">
      <x:c r="A13" s="36" t="str">
        <x:v>NET</x:v>
      </x:c>
      <x:c r="B13" s="37" t="n">
        <x:f>SUMIF(Members!$E$3:$E$14,A13,Members!$L$3:$L$14)</x:f>
        <x:v>20800</x:v>
      </x:c>
    </x:row>
    <x:row r="14">
      <x:c r="A14" s="36" t="str">
        <x:v>ATH</x:v>
      </x:c>
      <x:c r="B14" s="37" t="n">
        <x:f>SUMIF(Members!$E$3:$E$14,A14,Members!$L$3:$L$14)</x:f>
        <x:v>24600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db103c06b4b14ebb"/>
</x:worksheet>
</file>

<file path=xl/worksheets/sheet3.xml><?xml version="1.0" encoding="utf-8"?>
<x:worksheet xmlns:x="http://schemas.openxmlformats.org/spreadsheetml/2006/main">
  <x:sheetFormatPr defaultRowHeight="15"/>
  <x:cols>
    <x:col min="1" max="1" width="64.25" hidden="0" customWidth="1"/>
    <x:col min="2" max="2" width="14" hidden="0" customWidth="1"/>
    <x:col min="3" max="3" width="9.75" hidden="0" customWidth="1"/>
  </x:cols>
  <x:sheetData>
    <x:row r="1">
      <x:c r="A1" s="33" t="str">
        <x:v>SPARK REFERENCE - DO NOT SUBMIT | SPARK Sports Academy Lookups</x:v>
      </x:c>
      <x:c r="B1" s="33"/>
      <x:c r="C1" s="33"/>
    </x:row>
    <x:row r="2">
      <x:c r="A2" s="11" t="str">
        <x:v>ProgrammeCode</x:v>
      </x:c>
      <x:c r="B2" s="11" t="str">
        <x:v>ProgrammeName</x:v>
      </x:c>
      <x:c r="C2" s="11" t="str">
        <x:v>MonthlyFee</x:v>
      </x:c>
    </x:row>
    <x:row r="3">
      <x:c r="A3" s="36" t="str">
        <x:v>SWM</x:v>
      </x:c>
      <x:c r="B3" s="36" t="str">
        <x:v>Swimming</x:v>
      </x:c>
      <x:c r="C3" s="37" t="n">
        <x:v>9000</x:v>
      </x:c>
    </x:row>
    <x:row r="4">
      <x:c r="A4" s="36" t="str">
        <x:v>FTB</x:v>
      </x:c>
      <x:c r="B4" s="36" t="str">
        <x:v>Football</x:v>
      </x:c>
      <x:c r="C4" s="37" t="n">
        <x:v>7500</x:v>
      </x:c>
    </x:row>
    <x:row r="5">
      <x:c r="A5" s="36" t="str">
        <x:v>NET</x:v>
      </x:c>
      <x:c r="B5" s="36" t="str">
        <x:v>Netball</x:v>
      </x:c>
      <x:c r="C5" s="37" t="n">
        <x:v>7000</x:v>
      </x:c>
    </x:row>
    <x:row r="6">
      <x:c r="A6" s="36" t="str">
        <x:v>ATH</x:v>
      </x:c>
      <x:c r="B6" s="36" t="str">
        <x:v>Athletics</x:v>
      </x:c>
      <x:c r="C6" s="37" t="n">
        <x:v>8000</x:v>
      </x:c>
    </x:row>
  </x:sheetData>
  <x:mergeCells>
    <x:mergeCell ref="A1:C1"/>
  </x:mergeCells>
  <x:pageMargins left="0.7" right="0.7" top="0.75" bottom="0.75" header="0.3" footer="0.3"/>
</x:worksheet>
</file>