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c6f6bd541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ales" sheetId="1" r:id="R8814e2d3a31246cd"/>
    <x:sheet xmlns:r="http://schemas.openxmlformats.org/officeDocument/2006/relationships" name="Dashboard" sheetId="2" r:id="R65c85fd315704a38"/>
    <x:sheet xmlns:r="http://schemas.openxmlformats.org/officeDocument/2006/relationships" name="Rates" sheetId="3" r:id="R06a63964f29a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75E"/>
      <x:name val="Carlito"/>
    </x:font>
    <x:font>
      <x:i/>
      <x:sz val="11"/>
      <x:color rgb="FF64748B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0D8069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6614f1040461e" /><Relationship Type="http://schemas.openxmlformats.org/officeDocument/2006/relationships/theme" Target="/xl/theme/theme1.xml" Id="R39ef1299bf944815" /><Relationship Type="http://schemas.openxmlformats.org/officeDocument/2006/relationships/sharedStrings" Target="/xl/sharedStrings.xml" Id="R1cbf2129dc954157" /><Relationship Type="http://schemas.openxmlformats.org/officeDocument/2006/relationships/worksheet" Target="/xl/worksheets/sheet1.xml" Id="R8814e2d3a31246cd" /><Relationship Type="http://schemas.openxmlformats.org/officeDocument/2006/relationships/worksheet" Target="/xl/worksheets/sheet2.xml" Id="R65c85fd315704a38" /><Relationship Type="http://schemas.openxmlformats.org/officeDocument/2006/relationships/worksheet" Target="/xl/worksheets/sheet3.xml" Id="R06a63964f29a45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d2b3c004984a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 Sales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d2b3c004984a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f33d050f1436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5" t="str">
        <x:v>SPARK REFERENCE - DO NOT SUBMIT | YardFresh Community Market</x:v>
      </x:c>
      <x:c r="B1" s="5"/>
      <x:c r="C1" s="5"/>
      <x:c r="D1" s="5"/>
      <x:c r="E1" s="5"/>
      <x:c r="F1" s="5"/>
      <x:c r="G1" s="5"/>
      <x:c r="H1" s="5"/>
      <x:c r="I1" s="5"/>
      <x:c r="J1" s="5"/>
      <x:c r="L1" s="21" t="str">
        <x:v>Reference rate</x:v>
      </x:c>
    </x:row>
    <x:row r="2" ht="26.399999618530273" hidden="0" customHeight="1">
      <x:c r="A2" s="14" t="str">
        <x:v>SaleID</x:v>
      </x:c>
      <x:c r="B2" s="14" t="str">
        <x:v>ProductName</x:v>
      </x:c>
      <x:c r="C2" s="14" t="str">
        <x:v>Category</x:v>
      </x:c>
      <x:c r="D2" s="14" t="str">
        <x:v>UnitPrice</x:v>
      </x:c>
      <x:c r="E2" s="14" t="str">
        <x:v>Quantity</x:v>
      </x:c>
      <x:c r="F2" s="14" t="str">
        <x:v>SalesValue</x:v>
      </x:c>
      <x:c r="G2" s="14" t="str">
        <x:v>LoyaltyDiscount</x:v>
      </x:c>
      <x:c r="H2" s="14" t="str">
        <x:v>TaxableAmount</x:v>
      </x:c>
      <x:c r="I2" s="14" t="str">
        <x:v>GCT</x:v>
      </x:c>
      <x:c r="J2" s="14" t="str">
        <x:v>FinalAmount</x:v>
      </x:c>
      <x:c r="L2" s="24" t="n">
        <x:v>0.15</x:v>
      </x:c>
    </x:row>
    <x:row r="3" ht="15" hidden="0" customHeight="1">
      <x:c r="A3" s="28" t="str">
        <x:v>S001</x:v>
      </x:c>
      <x:c r="B3" s="28" t="str">
        <x:v>Rice 2kg</x:v>
      </x:c>
      <x:c r="C3" s="28" t="str">
        <x:v>Grocery</x:v>
      </x:c>
      <x:c r="D3" s="28" t="n">
        <x:v>980</x:v>
      </x:c>
      <x:c r="E3" s="28" t="n">
        <x:v>4</x:v>
      </x:c>
      <x:c r="F3" s="30" t="n">
        <x:f>D3*E3</x:f>
        <x:v>3920</x:v>
      </x:c>
      <x:c r="G3" s="30" t="n">
        <x:f>IF(F3&gt;=10000,F3*5%,0)</x:f>
        <x:v>0</x:v>
      </x:c>
      <x:c r="H3" s="30" t="n">
        <x:f>F3-G3</x:f>
        <x:v>3920</x:v>
      </x:c>
      <x:c r="I3" s="30" t="n">
        <x:f>H3*$L$2</x:f>
        <x:v>588</x:v>
      </x:c>
      <x:c r="J3" s="30" t="n">
        <x:f>H3+I3</x:f>
        <x:v>4508</x:v>
      </x:c>
      <x:c r="L3" s="26" t="str">
        <x:v>GCT rate</x:v>
      </x:c>
    </x:row>
    <x:row r="4" ht="26.399999618530273" hidden="0" customHeight="1">
      <x:c r="A4" s="28" t="str">
        <x:v>S002</x:v>
      </x:c>
      <x:c r="B4" s="28" t="str">
        <x:v>Plantain Chips</x:v>
      </x:c>
      <x:c r="C4" s="28" t="str">
        <x:v>Snacks</x:v>
      </x:c>
      <x:c r="D4" s="28" t="n">
        <x:v>350</x:v>
      </x:c>
      <x:c r="E4" s="28" t="n">
        <x:v>15</x:v>
      </x:c>
      <x:c r="F4" s="30" t="n">
        <x:f>D4*E4</x:f>
        <x:v>5250</x:v>
      </x:c>
      <x:c r="G4" s="30" t="n">
        <x:f>IF(F4&gt;=10000,F4*5%,0)</x:f>
        <x:v>0</x:v>
      </x:c>
      <x:c r="H4" s="30" t="n">
        <x:f>F4-G4</x:f>
        <x:v>5250</x:v>
      </x:c>
      <x:c r="I4" s="30" t="n">
        <x:f>H4*$L$2</x:f>
        <x:v>787.5</x:v>
      </x:c>
      <x:c r="J4" s="30" t="n">
        <x:f>H4+I4</x:f>
        <x:v>6037.5</x:v>
      </x:c>
    </x:row>
    <x:row r="5" ht="26.399999618530273" hidden="0" customHeight="1">
      <x:c r="A5" s="28" t="str">
        <x:v>S003</x:v>
      </x:c>
      <x:c r="B5" s="28" t="str">
        <x:v>Fresh Juice</x:v>
      </x:c>
      <x:c r="C5" s="28" t="str">
        <x:v>Beverage</x:v>
      </x:c>
      <x:c r="D5" s="28" t="n">
        <x:v>500</x:v>
      </x:c>
      <x:c r="E5" s="28" t="n">
        <x:v>12</x:v>
      </x:c>
      <x:c r="F5" s="30" t="n">
        <x:f>D5*E5</x:f>
        <x:v>6000</x:v>
      </x:c>
      <x:c r="G5" s="30" t="n">
        <x:f>IF(F5&gt;=10000,F5*5%,0)</x:f>
        <x:v>0</x:v>
      </x:c>
      <x:c r="H5" s="30" t="n">
        <x:f>F5-G5</x:f>
        <x:v>6000</x:v>
      </x:c>
      <x:c r="I5" s="30" t="n">
        <x:f>H5*$L$2</x:f>
        <x:v>900</x:v>
      </x:c>
      <x:c r="J5" s="30" t="n">
        <x:f>H5+I5</x:f>
        <x:v>6900</x:v>
      </x:c>
    </x:row>
    <x:row r="6" ht="26.399999618530273" hidden="0" customHeight="1">
      <x:c r="A6" s="28" t="str">
        <x:v>S004</x:v>
      </x:c>
      <x:c r="B6" s="28" t="str">
        <x:v>Ground Coffee</x:v>
      </x:c>
      <x:c r="C6" s="28" t="str">
        <x:v>Beverage</x:v>
      </x:c>
      <x:c r="D6" s="28" t="n">
        <x:v>1800</x:v>
      </x:c>
      <x:c r="E6" s="28" t="n">
        <x:v>7</x:v>
      </x:c>
      <x:c r="F6" s="30" t="n">
        <x:f>D6*E6</x:f>
        <x:v>12600</x:v>
      </x:c>
      <x:c r="G6" s="30" t="n">
        <x:f>IF(F6&gt;=10000,F6*5%,0)</x:f>
        <x:v>630</x:v>
      </x:c>
      <x:c r="H6" s="30" t="n">
        <x:f>F6-G6</x:f>
        <x:v>11970</x:v>
      </x:c>
      <x:c r="I6" s="30" t="n">
        <x:f>H6*$L$2</x:f>
        <x:v>1795.5</x:v>
      </x:c>
      <x:c r="J6" s="30" t="n">
        <x:f>H6+I6</x:f>
        <x:v>13765.5</x:v>
      </x:c>
    </x:row>
    <x:row r="7" ht="26.399999618530273" hidden="0" customHeight="1">
      <x:c r="A7" s="28" t="str">
        <x:v>S005</x:v>
      </x:c>
      <x:c r="B7" s="28" t="str">
        <x:v>Bath Soap</x:v>
      </x:c>
      <x:c r="C7" s="28" t="str">
        <x:v>Household</x:v>
      </x:c>
      <x:c r="D7" s="28" t="n">
        <x:v>420</x:v>
      </x:c>
      <x:c r="E7" s="28" t="n">
        <x:v>8</x:v>
      </x:c>
      <x:c r="F7" s="30" t="n">
        <x:f>D7*E7</x:f>
        <x:v>3360</x:v>
      </x:c>
      <x:c r="G7" s="30" t="n">
        <x:f>IF(F7&gt;=10000,F7*5%,0)</x:f>
        <x:v>0</x:v>
      </x:c>
      <x:c r="H7" s="30" t="n">
        <x:f>F7-G7</x:f>
        <x:v>3360</x:v>
      </x:c>
      <x:c r="I7" s="30" t="n">
        <x:f>H7*$L$2</x:f>
        <x:v>504</x:v>
      </x:c>
      <x:c r="J7" s="30" t="n">
        <x:f>H7+I7</x:f>
        <x:v>3864</x:v>
      </x:c>
    </x:row>
    <x:row r="8" ht="15" hidden="0" customHeight="1">
      <x:c r="A8" s="28" t="str">
        <x:v>S006</x:v>
      </x:c>
      <x:c r="B8" s="28" t="str">
        <x:v>Cereal</x:v>
      </x:c>
      <x:c r="C8" s="28" t="str">
        <x:v>Grocery</x:v>
      </x:c>
      <x:c r="D8" s="28" t="n">
        <x:v>1200</x:v>
      </x:c>
      <x:c r="E8" s="28" t="n">
        <x:v>10</x:v>
      </x:c>
      <x:c r="F8" s="30" t="n">
        <x:f>D8*E8</x:f>
        <x:v>12000</x:v>
      </x:c>
      <x:c r="G8" s="30" t="n">
        <x:f>IF(F8&gt;=10000,F8*5%,0)</x:f>
        <x:v>600</x:v>
      </x:c>
      <x:c r="H8" s="30" t="n">
        <x:f>F8-G8</x:f>
        <x:v>11400</x:v>
      </x:c>
      <x:c r="I8" s="30" t="n">
        <x:f>H8*$L$2</x:f>
        <x:v>1710</x:v>
      </x:c>
      <x:c r="J8" s="30" t="n">
        <x:f>H8+I8</x:f>
        <x:v>13110</x:v>
      </x:c>
    </x:row>
    <x:row r="9" ht="15" hidden="0" customHeight="1">
      <x:c r="A9" s="28" t="str">
        <x:v>S007</x:v>
      </x:c>
      <x:c r="B9" s="28" t="str">
        <x:v>Flour 2kg</x:v>
      </x:c>
      <x:c r="C9" s="28" t="str">
        <x:v>Grocery</x:v>
      </x:c>
      <x:c r="D9" s="28" t="n">
        <x:v>760</x:v>
      </x:c>
      <x:c r="E9" s="28" t="n">
        <x:v>6</x:v>
      </x:c>
      <x:c r="F9" s="30" t="n">
        <x:f>D9*E9</x:f>
        <x:v>4560</x:v>
      </x:c>
      <x:c r="G9" s="30" t="n">
        <x:f>IF(F9&gt;=10000,F9*5%,0)</x:f>
        <x:v>0</x:v>
      </x:c>
      <x:c r="H9" s="30" t="n">
        <x:f>F9-G9</x:f>
        <x:v>4560</x:v>
      </x:c>
      <x:c r="I9" s="30" t="n">
        <x:f>H9*$L$2</x:f>
        <x:v>684</x:v>
      </x:c>
      <x:c r="J9" s="30" t="n">
        <x:f>H9+I9</x:f>
        <x:v>5244</x:v>
      </x:c>
    </x:row>
    <x:row r="10" ht="26.399999618530273" hidden="0" customHeight="1">
      <x:c r="A10" s="28" t="str">
        <x:v>S008</x:v>
      </x:c>
      <x:c r="B10" s="28" t="str">
        <x:v>Coconut Water</x:v>
      </x:c>
      <x:c r="C10" s="28" t="str">
        <x:v>Beverage</x:v>
      </x:c>
      <x:c r="D10" s="28" t="n">
        <x:v>450</x:v>
      </x:c>
      <x:c r="E10" s="28" t="n">
        <x:v>20</x:v>
      </x:c>
      <x:c r="F10" s="30" t="n">
        <x:f>D10*E10</x:f>
        <x:v>9000</x:v>
      </x:c>
      <x:c r="G10" s="30" t="n">
        <x:f>IF(F10&gt;=10000,F10*5%,0)</x:f>
        <x:v>0</x:v>
      </x:c>
      <x:c r="H10" s="30" t="n">
        <x:f>F10-G10</x:f>
        <x:v>9000</x:v>
      </x:c>
      <x:c r="I10" s="30" t="n">
        <x:f>H10*$L$2</x:f>
        <x:v>1350</x:v>
      </x:c>
      <x:c r="J10" s="30" t="n">
        <x:f>H10+I10</x:f>
        <x:v>10350</x:v>
      </x:c>
    </x:row>
    <x:row r="11" ht="15" hidden="0" customHeight="1">
      <x:c r="A11" s="28" t="str">
        <x:v>S009</x:v>
      </x:c>
      <x:c r="B11" s="28" t="str">
        <x:v>Crackers</x:v>
      </x:c>
      <x:c r="C11" s="28" t="str">
        <x:v>Snacks</x:v>
      </x:c>
      <x:c r="D11" s="28" t="n">
        <x:v>300</x:v>
      </x:c>
      <x:c r="E11" s="28" t="n">
        <x:v>9</x:v>
      </x:c>
      <x:c r="F11" s="30" t="n">
        <x:f>D11*E11</x:f>
        <x:v>2700</x:v>
      </x:c>
      <x:c r="G11" s="30" t="n">
        <x:f>IF(F11&gt;=10000,F11*5%,0)</x:f>
        <x:v>0</x:v>
      </x:c>
      <x:c r="H11" s="30" t="n">
        <x:f>F11-G11</x:f>
        <x:v>2700</x:v>
      </x:c>
      <x:c r="I11" s="30" t="n">
        <x:f>H11*$L$2</x:f>
        <x:v>405</x:v>
      </x:c>
      <x:c r="J11" s="30" t="n">
        <x:f>H11+I11</x:f>
        <x:v>3105</x:v>
      </x:c>
    </x:row>
    <x:row r="12" ht="26.399999618530273" hidden="0" customHeight="1">
      <x:c r="A12" s="28" t="str">
        <x:v>S010</x:v>
      </x:c>
      <x:c r="B12" s="28" t="str">
        <x:v>Laundry Soap</x:v>
      </x:c>
      <x:c r="C12" s="28" t="str">
        <x:v>Household</x:v>
      </x:c>
      <x:c r="D12" s="28" t="n">
        <x:v>500</x:v>
      </x:c>
      <x:c r="E12" s="28" t="n">
        <x:v>12</x:v>
      </x:c>
      <x:c r="F12" s="30" t="n">
        <x:f>D12*E12</x:f>
        <x:v>6000</x:v>
      </x:c>
      <x:c r="G12" s="30" t="n">
        <x:f>IF(F12&gt;=10000,F12*5%,0)</x:f>
        <x:v>0</x:v>
      </x:c>
      <x:c r="H12" s="30" t="n">
        <x:f>F12-G12</x:f>
        <x:v>6000</x:v>
      </x:c>
      <x:c r="I12" s="30" t="n">
        <x:f>H12*$L$2</x:f>
        <x:v>900</x:v>
      </x:c>
      <x:c r="J12" s="30" t="n">
        <x:f>H12+I12</x:f>
        <x:v>6900</x:v>
      </x:c>
    </x:row>
    <x:row r="13" ht="26.399999618530273" hidden="0" customHeight="1">
      <x:c r="A13" s="28" t="str">
        <x:v>S011</x:v>
      </x:c>
      <x:c r="B13" s="28" t="str">
        <x:v>Cooking Oil</x:v>
      </x:c>
      <x:c r="C13" s="28" t="str">
        <x:v>Grocery</x:v>
      </x:c>
      <x:c r="D13" s="28" t="n">
        <x:v>1900</x:v>
      </x:c>
      <x:c r="E13" s="28" t="n">
        <x:v>6</x:v>
      </x:c>
      <x:c r="F13" s="30" t="n">
        <x:f>D13*E13</x:f>
        <x:v>11400</x:v>
      </x:c>
      <x:c r="G13" s="30" t="n">
        <x:f>IF(F13&gt;=10000,F13*5%,0)</x:f>
        <x:v>570</x:v>
      </x:c>
      <x:c r="H13" s="30" t="n">
        <x:f>F13-G13</x:f>
        <x:v>10830</x:v>
      </x:c>
      <x:c r="I13" s="30" t="n">
        <x:f>H13*$L$2</x:f>
        <x:v>1624.5</x:v>
      </x:c>
      <x:c r="J13" s="30" t="n">
        <x:f>H13+I13</x:f>
        <x:v>12454.5</x:v>
      </x:c>
    </x:row>
    <x:row r="14" ht="26.399999618530273" hidden="0" customHeight="1">
      <x:c r="A14" s="28" t="str">
        <x:v>S012</x:v>
      </x:c>
      <x:c r="B14" s="28" t="str">
        <x:v>Fruit Basket</x:v>
      </x:c>
      <x:c r="C14" s="28" t="str">
        <x:v>Produce</x:v>
      </x:c>
      <x:c r="D14" s="28" t="n">
        <x:v>2500</x:v>
      </x:c>
      <x:c r="E14" s="28" t="n">
        <x:v>5</x:v>
      </x:c>
      <x:c r="F14" s="30" t="n">
        <x:f>D14*E14</x:f>
        <x:v>12500</x:v>
      </x:c>
      <x:c r="G14" s="30" t="n">
        <x:f>IF(F14&gt;=10000,F14*5%,0)</x:f>
        <x:v>625</x:v>
      </x:c>
      <x:c r="H14" s="30" t="n">
        <x:f>F14-G14</x:f>
        <x:v>11875</x:v>
      </x:c>
      <x:c r="I14" s="30" t="n">
        <x:f>H14*$L$2</x:f>
        <x:v>1781.25</x:v>
      </x:c>
      <x:c r="J14" s="30" t="n">
        <x:f>H14+I14</x:f>
        <x:v>13656.25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8" customHeight="1">
      <x:c r="A1" s="4" t="str">
        <x:v>SPARK REFERENCE - DO NOT SUBMIT | YardFresh Community Market Summary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Key measure</x:v>
      </x:c>
      <x:c r="B3" s="11" t="str">
        <x:v>Result</x:v>
      </x:c>
    </x:row>
    <x:row r="4">
      <x:c r="A4" s="36" t="str">
        <x:v>Total final sales</x:v>
      </x:c>
      <x:c r="B4" s="37" t="n">
        <x:f>SUM(ProductSales!J3:J14)</x:f>
        <x:v>99894.75</x:v>
      </x:c>
    </x:row>
    <x:row r="5">
      <x:c r="A5" s="36" t="str">
        <x:v>Average transaction</x:v>
      </x:c>
      <x:c r="B5" s="37" t="n">
        <x:f>AVERAGE(ProductSales!J3:J14)</x:f>
        <x:v>8324.5625</x:v>
      </x:c>
    </x:row>
    <x:row r="6">
      <x:c r="A6" s="36" t="str">
        <x:v>Large transactions</x:v>
      </x:c>
      <x:c r="B6" s="39" t="n">
        <x:f>COUNTIF(ProductSales!F3:F14,"&gt;=10000")</x:f>
        <x:v>4</x:v>
      </x:c>
    </x:row>
    <x:row r="7">
      <x:c r="A7" s="36" t="str">
        <x:v>GCT collected</x:v>
      </x:c>
      <x:c r="B7" s="37" t="n">
        <x:f>SUM(ProductSales!I3:I14)</x:f>
        <x:v>13029.75</x:v>
      </x:c>
    </x:row>
    <x:row r="10">
      <x:c r="A10" s="21" t="str">
        <x:v>Category / Code</x:v>
      </x:c>
      <x:c r="B10" s="21" t="str">
        <x:v>Value</x:v>
      </x:c>
    </x:row>
    <x:row r="11">
      <x:c r="A11" s="36" t="str">
        <x:v>Grocery</x:v>
      </x:c>
      <x:c r="B11" s="37" t="n">
        <x:f>SUMIF(ProductSales!$C$3:$C$14,A11,ProductSales!$J$3:$J$14)</x:f>
        <x:v>35316.5</x:v>
      </x:c>
    </x:row>
    <x:row r="12">
      <x:c r="A12" s="36" t="str">
        <x:v>Snacks</x:v>
      </x:c>
      <x:c r="B12" s="37" t="n">
        <x:f>SUMIF(ProductSales!$C$3:$C$14,A12,ProductSales!$J$3:$J$14)</x:f>
        <x:v>9142.5</x:v>
      </x:c>
    </x:row>
    <x:row r="13">
      <x:c r="A13" s="36" t="str">
        <x:v>Beverage</x:v>
      </x:c>
      <x:c r="B13" s="37" t="n">
        <x:f>SUMIF(ProductSales!$C$3:$C$14,A13,ProductSales!$J$3:$J$14)</x:f>
        <x:v>31015.5</x:v>
      </x:c>
    </x:row>
    <x:row r="14">
      <x:c r="A14" s="36" t="str">
        <x:v>Household</x:v>
      </x:c>
      <x:c r="B14" s="37" t="n">
        <x:f>SUMIF(ProductSales!$C$3:$C$14,A14,ProductSales!$J$3:$J$14)</x:f>
        <x:v>10764</x:v>
      </x:c>
    </x:row>
    <x:row r="15">
      <x:c r="A15" s="36" t="str">
        <x:v>Produce</x:v>
      </x:c>
      <x:c r="B15" s="37" t="n">
        <x:f>SUMIF(ProductSales!$C$3:$C$14,A15,ProductSales!$J$3:$J$14)</x:f>
        <x:v>13656.25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cff33d050f14362"/>
</x:worksheet>
</file>

<file path=xl/worksheets/sheet3.xml><?xml version="1.0" encoding="utf-8"?>
<x:worksheet xmlns:x="http://schemas.openxmlformats.org/spreadsheetml/2006/main">
  <x:sheetFormatPr defaultRowHeight="15"/>
  <x:cols>
    <x:col min="1" max="1" width="70.25" hidden="0" customWidth="1"/>
    <x:col min="2" max="2" width="4.75" hidden="0" customWidth="1"/>
  </x:cols>
  <x:sheetData>
    <x:row r="1">
      <x:c r="A1" s="33" t="str">
        <x:v>SPARK REFERENCE - DO NOT SUBMIT | YardFresh Community Market Lookups</x:v>
      </x:c>
      <x:c r="B1" s="33"/>
    </x:row>
    <x:row r="2">
      <x:c r="A2" s="11" t="str">
        <x:v>Rate</x:v>
      </x:c>
      <x:c r="B2" s="11" t="str">
        <x:v>Value</x:v>
      </x:c>
    </x:row>
    <x:row r="3">
      <x:c r="A3" s="36" t="str">
        <x:v>GCT</x:v>
      </x:c>
      <x:c r="B3" s="36" t="n">
        <x:v>0.15</x:v>
      </x:c>
    </x:row>
    <x:row r="4">
      <x:c r="A4" s="36" t="str">
        <x:v>LoyaltyDiscount</x:v>
      </x:c>
      <x:c r="B4" s="36" t="n">
        <x:v>0.05</x:v>
      </x:c>
    </x:row>
  </x:sheetData>
  <x:mergeCells>
    <x:mergeCell ref="A1:B1"/>
  </x:mergeCells>
  <x:pageMargins left="0.7" right="0.7" top="0.75" bottom="0.75" header="0.3" footer="0.3"/>
</x:worksheet>
</file>